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fia\Downloads\"/>
    </mc:Choice>
  </mc:AlternateContent>
  <xr:revisionPtr revIDLastSave="0" documentId="13_ncr:1_{3C5DBBE4-3013-48FD-A959-4B60D609C6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4" sheetId="32" r:id="rId1"/>
    <sheet name="Hoja1" sheetId="33" r:id="rId2"/>
    <sheet name="CERTIFICADO PARA PAGO" sheetId="28" state="hidden" r:id="rId3"/>
    <sheet name="pabril" sheetId="10" state="hidden" r:id="rId4"/>
    <sheet name="abril" sheetId="8" state="hidden" r:id="rId5"/>
    <sheet name="pmayo" sheetId="4" state="hidden" r:id="rId6"/>
    <sheet name="mayo" sheetId="9" state="hidden" r:id="rId7"/>
    <sheet name="junio" sheetId="11" state="hidden" r:id="rId8"/>
    <sheet name="julio" sheetId="12" state="hidden" r:id="rId9"/>
    <sheet name="agosto" sheetId="13" state="hidden" r:id="rId10"/>
    <sheet name="septiembre" sheetId="14" state="hidden" r:id="rId11"/>
    <sheet name="octubre" sheetId="15" state="hidden" r:id="rId12"/>
    <sheet name="noviembre" sheetId="16" state="hidden" r:id="rId13"/>
    <sheet name="diciembre" sheetId="17" state="hidden" r:id="rId14"/>
    <sheet name="enero 2017" sheetId="18" state="hidden" r:id="rId15"/>
  </sheets>
  <externalReferences>
    <externalReference r:id="rId16"/>
    <externalReference r:id="rId17"/>
  </externalReferences>
  <definedNames>
    <definedName name="_xlnm.Print_Area" localSheetId="9">agosto!$A$2:$AF$83</definedName>
    <definedName name="_xlnm.Print_Area" localSheetId="2">'CERTIFICADO PARA PAGO'!$A$1:$AF$83</definedName>
    <definedName name="_xlnm.Print_Area" localSheetId="13">diciembre!$A$2:$AF$83</definedName>
    <definedName name="_xlnm.Print_Area" localSheetId="14">'enero 2017'!$A$2:$AF$83</definedName>
    <definedName name="_xlnm.Print_Area" localSheetId="8">julio!$A$2:$AF$83</definedName>
    <definedName name="_xlnm.Print_Area" localSheetId="7">junio!$A$2:$AF$83</definedName>
    <definedName name="_xlnm.Print_Area" localSheetId="12">noviembre!$A$2:$AF$83</definedName>
    <definedName name="_xlnm.Print_Area" localSheetId="11">octubre!$A$2:$AF$83</definedName>
    <definedName name="_xlnm.Print_Area" localSheetId="3">pabril!$A$2:$AF$83</definedName>
    <definedName name="_xlnm.Print_Area" localSheetId="5">pmayo!$A$2:$AF$83</definedName>
    <definedName name="_xlnm.Print_Area" localSheetId="10">septiembre!$A$2:$AF$83</definedName>
    <definedName name="baseretencionuvt">'[1]RETENCIÓN 1'!$K$80</definedName>
    <definedName name="basertfte">'[1]RETENCIÓN 2'!$H$154</definedName>
    <definedName name="estampilla">[2]calculos!$D$25</definedName>
    <definedName name="industria">[2]calculos!$D$24</definedName>
    <definedName name="ingresogravable">'[1]RETENCIÓN 1'!$E$37</definedName>
    <definedName name="retencioniva">[2]calculos!$C$7</definedName>
    <definedName name="retencionrenta">[2]calculos!$G$23</definedName>
    <definedName name="tarifaretencion">'[1]RETENCIÓN 1'!$J$80</definedName>
    <definedName name="valorcuenta">#REF!</definedName>
    <definedName name="valorletras">[2]conversion!$C$17</definedName>
  </definedNames>
  <calcPr calcId="191029"/>
</workbook>
</file>

<file path=xl/calcChain.xml><?xml version="1.0" encoding="utf-8"?>
<calcChain xmlns="http://schemas.openxmlformats.org/spreadsheetml/2006/main">
  <c r="P67" i="32" l="1"/>
  <c r="M67" i="32"/>
  <c r="A67" i="32"/>
  <c r="Q66" i="32"/>
  <c r="N66" i="32"/>
  <c r="B66" i="32"/>
  <c r="E36" i="32"/>
  <c r="F22" i="32"/>
  <c r="K71" i="32" l="1"/>
  <c r="G22" i="28" l="1"/>
  <c r="K21" i="28"/>
  <c r="W61" i="28" l="1"/>
  <c r="Q71" i="28" l="1"/>
  <c r="N71" i="28"/>
  <c r="B71" i="28"/>
  <c r="R70" i="28"/>
  <c r="O70" i="28"/>
  <c r="C70" i="28"/>
  <c r="L75" i="28"/>
  <c r="F36" i="28"/>
  <c r="W57" i="18" l="1"/>
  <c r="AH56" i="18" s="1"/>
  <c r="F33" i="18" l="1"/>
  <c r="AN60" i="18"/>
  <c r="AL65" i="18"/>
  <c r="AL67" i="18" s="1"/>
  <c r="Q68" i="18"/>
  <c r="N68" i="18"/>
  <c r="B68" i="18"/>
  <c r="R67" i="18"/>
  <c r="O67" i="18"/>
  <c r="C67" i="18"/>
  <c r="L72" i="18"/>
  <c r="AJ41" i="18"/>
  <c r="AL40" i="18"/>
  <c r="AL38" i="18"/>
  <c r="AJ33" i="18"/>
  <c r="AM66" i="18" l="1"/>
  <c r="Y41" i="18" s="1"/>
  <c r="AN61" i="18"/>
  <c r="AM67" i="18"/>
  <c r="AL52" i="18"/>
  <c r="AL53" i="18" s="1"/>
  <c r="AJ67" i="18"/>
  <c r="AJ68" i="18" s="1"/>
  <c r="Y40" i="17"/>
  <c r="Y39" i="17"/>
  <c r="Y38" i="17"/>
  <c r="AI41" i="17"/>
  <c r="Y40" i="18" l="1"/>
  <c r="AI47" i="18" s="1"/>
  <c r="AJ47" i="18" s="1"/>
  <c r="Y38" i="18"/>
  <c r="Y39" i="18"/>
  <c r="AI45" i="18"/>
  <c r="AJ45" i="18" s="1"/>
  <c r="AI38" i="18"/>
  <c r="AI40" i="18"/>
  <c r="AI33" i="17"/>
  <c r="AK40" i="17"/>
  <c r="AK38" i="17"/>
  <c r="Q68" i="17"/>
  <c r="N68" i="17"/>
  <c r="B68" i="17"/>
  <c r="R67" i="17"/>
  <c r="O67" i="17"/>
  <c r="C67" i="17"/>
  <c r="W57" i="17"/>
  <c r="AH40" i="17"/>
  <c r="AH39" i="17"/>
  <c r="AH45" i="17"/>
  <c r="AI45" i="17" s="1"/>
  <c r="F33" i="17"/>
  <c r="AI46" i="18" l="1"/>
  <c r="AJ46" i="18" s="1"/>
  <c r="AI39" i="18"/>
  <c r="AI41" i="18"/>
  <c r="L72" i="17"/>
  <c r="AI67" i="17"/>
  <c r="AI68" i="17" s="1"/>
  <c r="AH47" i="17"/>
  <c r="AI47" i="17" s="1"/>
  <c r="AH38" i="17"/>
  <c r="AH41" i="17" s="1"/>
  <c r="AH46" i="17"/>
  <c r="AI46" i="17" s="1"/>
  <c r="AK52" i="17"/>
  <c r="AK53" i="17" s="1"/>
  <c r="Q68" i="16"/>
  <c r="N68" i="16"/>
  <c r="B68" i="16"/>
  <c r="R67" i="16"/>
  <c r="O67" i="16"/>
  <c r="C67" i="16"/>
  <c r="W57" i="16"/>
  <c r="L72" i="16" s="1"/>
  <c r="K57" i="16"/>
  <c r="AI41" i="16"/>
  <c r="F33" i="16"/>
  <c r="AK52" i="16" l="1"/>
  <c r="AK53" i="16" s="1"/>
  <c r="K57" i="15"/>
  <c r="Q68" i="15"/>
  <c r="N68" i="15"/>
  <c r="B68" i="15"/>
  <c r="R67" i="15"/>
  <c r="O67" i="15"/>
  <c r="C67" i="15"/>
  <c r="W57" i="15"/>
  <c r="L72" i="15" s="1"/>
  <c r="AI41" i="15"/>
  <c r="F33" i="15"/>
  <c r="AK52" i="15" l="1"/>
  <c r="AK53" i="15"/>
  <c r="K57" i="14" l="1"/>
  <c r="Q68" i="14"/>
  <c r="N68" i="14"/>
  <c r="B68" i="14"/>
  <c r="R67" i="14"/>
  <c r="O67" i="14"/>
  <c r="C67" i="14"/>
  <c r="W57" i="14"/>
  <c r="AI41" i="14"/>
  <c r="F33" i="14"/>
  <c r="L72" i="14" l="1"/>
  <c r="AK52" i="14"/>
  <c r="AK53" i="14" s="1"/>
  <c r="K57" i="13"/>
  <c r="Q68" i="13"/>
  <c r="N68" i="13"/>
  <c r="B68" i="13"/>
  <c r="R67" i="13"/>
  <c r="O67" i="13"/>
  <c r="C67" i="13"/>
  <c r="W57" i="13"/>
  <c r="L72" i="13" s="1"/>
  <c r="AI41" i="13"/>
  <c r="F33" i="13"/>
  <c r="K57" i="12"/>
  <c r="Q68" i="12"/>
  <c r="N68" i="12"/>
  <c r="B68" i="12"/>
  <c r="R67" i="12"/>
  <c r="O67" i="12"/>
  <c r="C67" i="12"/>
  <c r="W57" i="12"/>
  <c r="L72" i="12" s="1"/>
  <c r="AI41" i="12"/>
  <c r="F33" i="12"/>
  <c r="G16" i="9" l="1"/>
  <c r="G17" i="9"/>
  <c r="G14" i="9"/>
  <c r="G15" i="9"/>
  <c r="K57" i="11"/>
  <c r="AI41" i="11"/>
  <c r="Q68" i="11"/>
  <c r="N68" i="11"/>
  <c r="B68" i="11"/>
  <c r="R67" i="11"/>
  <c r="O67" i="11"/>
  <c r="C67" i="11"/>
  <c r="W57" i="11"/>
  <c r="L72" i="11" s="1"/>
  <c r="F33" i="11"/>
  <c r="G18" i="9" l="1"/>
  <c r="E15" i="9" s="1"/>
  <c r="E16" i="9"/>
  <c r="E14" i="9"/>
  <c r="E17" i="9" l="1"/>
  <c r="Q68" i="10"/>
  <c r="N68" i="10"/>
  <c r="B68" i="10"/>
  <c r="R67" i="10"/>
  <c r="O67" i="10"/>
  <c r="C67" i="10"/>
  <c r="W57" i="10"/>
  <c r="F33" i="10"/>
  <c r="A7" i="9"/>
  <c r="A9" i="9" s="1"/>
  <c r="A7" i="8"/>
  <c r="D3" i="8" s="1"/>
  <c r="E3" i="8" s="1"/>
  <c r="H3" i="8" s="1"/>
  <c r="D5" i="9" l="1"/>
  <c r="E5" i="9" s="1"/>
  <c r="D3" i="9"/>
  <c r="E3" i="9" s="1"/>
  <c r="D6" i="8"/>
  <c r="E6" i="8" s="1"/>
  <c r="H6" i="8" s="1"/>
  <c r="Y40" i="15" s="1"/>
  <c r="A9" i="8"/>
  <c r="Y40" i="16"/>
  <c r="Y40" i="14"/>
  <c r="AH40" i="14" s="1"/>
  <c r="Y40" i="13"/>
  <c r="AH40" i="13" s="1"/>
  <c r="Y40" i="4"/>
  <c r="Y40" i="10"/>
  <c r="D5" i="8"/>
  <c r="E5" i="8" s="1"/>
  <c r="H5" i="8" s="1"/>
  <c r="AA57" i="10"/>
  <c r="L72" i="10"/>
  <c r="D2" i="9"/>
  <c r="D4" i="9"/>
  <c r="E4" i="9" s="1"/>
  <c r="D6" i="9"/>
  <c r="E6" i="9" s="1"/>
  <c r="D2" i="8"/>
  <c r="D4" i="8"/>
  <c r="E4" i="8" s="1"/>
  <c r="H4" i="8" s="1"/>
  <c r="Y40" i="11" l="1"/>
  <c r="AH40" i="11" s="1"/>
  <c r="Y40" i="12"/>
  <c r="AH40" i="12" s="1"/>
  <c r="D7" i="8"/>
  <c r="E2" i="8"/>
  <c r="AH40" i="15"/>
  <c r="AH47" i="15"/>
  <c r="Y39" i="16"/>
  <c r="Y39" i="15"/>
  <c r="Y39" i="14"/>
  <c r="AH39" i="14" s="1"/>
  <c r="Y39" i="12"/>
  <c r="AH39" i="12" s="1"/>
  <c r="Y39" i="13"/>
  <c r="AH39" i="13" s="1"/>
  <c r="Y39" i="11"/>
  <c r="AH39" i="11" s="1"/>
  <c r="Y39" i="4"/>
  <c r="Y39" i="10"/>
  <c r="E2" i="9"/>
  <c r="E7" i="9" s="1"/>
  <c r="D7" i="9"/>
  <c r="AH47" i="16"/>
  <c r="AI47" i="16" s="1"/>
  <c r="AH40" i="16"/>
  <c r="AH39" i="15" l="1"/>
  <c r="AH46" i="15"/>
  <c r="H2" i="8"/>
  <c r="E7" i="8"/>
  <c r="AH39" i="16"/>
  <c r="AH46" i="16"/>
  <c r="AI46" i="16" s="1"/>
  <c r="Y38" i="16" l="1"/>
  <c r="Y38" i="15"/>
  <c r="Y38" i="14"/>
  <c r="AH38" i="14" s="1"/>
  <c r="AH41" i="14" s="1"/>
  <c r="Y38" i="13"/>
  <c r="AH38" i="13" s="1"/>
  <c r="AH41" i="13" s="1"/>
  <c r="Y38" i="12"/>
  <c r="AH38" i="12" s="1"/>
  <c r="AH41" i="12" s="1"/>
  <c r="Y38" i="11"/>
  <c r="AH38" i="11" s="1"/>
  <c r="AH41" i="11" s="1"/>
  <c r="Y38" i="4"/>
  <c r="N57" i="4" s="1"/>
  <c r="Y38" i="10"/>
  <c r="AH38" i="15" l="1"/>
  <c r="AH41" i="15" s="1"/>
  <c r="AH45" i="15"/>
  <c r="AH38" i="16"/>
  <c r="AH41" i="16" s="1"/>
  <c r="AH45" i="16"/>
  <c r="AI45" i="16" s="1"/>
  <c r="Q68" i="4"/>
  <c r="N68" i="4"/>
  <c r="B68" i="4"/>
  <c r="R67" i="4"/>
  <c r="O67" i="4"/>
  <c r="C67" i="4"/>
  <c r="W57" i="4"/>
  <c r="F33" i="4"/>
  <c r="AA57" i="4" l="1"/>
  <c r="L72" i="4"/>
  <c r="N57" i="18"/>
  <c r="AA57" i="18" s="1"/>
  <c r="N57" i="14"/>
  <c r="AA57" i="14" s="1"/>
  <c r="N57" i="16"/>
  <c r="AA57" i="16" s="1"/>
  <c r="N57" i="17"/>
  <c r="AA57" i="17" s="1"/>
  <c r="N57" i="13"/>
  <c r="AA57" i="13" s="1"/>
  <c r="N57" i="15"/>
  <c r="AA57" i="15" s="1"/>
  <c r="N57" i="11"/>
  <c r="AA57" i="11" s="1"/>
  <c r="N57" i="12"/>
  <c r="AA5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Ley Aragón </author>
    <author>ocastellanosb</author>
  </authors>
  <commentList>
    <comment ref="N22" authorId="0" shapeId="0" xr:uid="{00000000-0006-0000-0000-000001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Diligenciar el Nro. de la cláusula denominada "forma de pago" de su contrato</t>
        </r>
      </text>
    </comment>
    <comment ref="C4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Ingresar el número del documento "CDP"</t>
        </r>
      </text>
    </comment>
    <comment ref="H41" authorId="0" shapeId="0" xr:uid="{00000000-0006-0000-0000-000003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Ingresar el número del documento RP</t>
        </r>
      </text>
    </comment>
    <comment ref="X41" authorId="0" shapeId="0" xr:uid="{00000000-0006-0000-0000-000004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Corresponde al valor a pagar de acuerdo a la distribución presupuestal del RP, tener en cuenta que en los contratos con varias fuentes de financiación se debe llevar control del presupuesto asignado para cada rubro.</t>
        </r>
      </text>
    </comment>
    <comment ref="D57" authorId="0" shapeId="0" xr:uid="{00000000-0006-0000-0000-000005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REEMPLAZAR FECHA EN FORMATO DD/MM/AAAA
</t>
        </r>
      </text>
    </comment>
    <comment ref="G57" authorId="0" shapeId="0" xr:uid="{00000000-0006-0000-0000-000006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REEMPLAZAR FECHA EN FORMATO DD/MM/AAAA
</t>
        </r>
      </text>
    </comment>
    <comment ref="J57" authorId="1" shapeId="0" xr:uid="{00000000-0006-0000-0000-000007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M57" authorId="1" shapeId="0" xr:uid="{00000000-0006-0000-0000-000008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B60" authorId="1" shapeId="0" xr:uid="{00000000-0006-0000-0000-000009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Ley Aragón </author>
    <author>ocastellanosb</author>
  </authors>
  <commentList>
    <comment ref="O22" authorId="0" shapeId="0" xr:uid="{00000000-0006-0000-0200-000001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Diligenciar el Nro. de la cláusula denominada "forma de pago" de su contrato</t>
        </r>
      </text>
    </comment>
    <comment ref="D41" authorId="0" shapeId="0" xr:uid="{00000000-0006-0000-0200-000002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Ingresar el número del documento "CDP"</t>
        </r>
      </text>
    </comment>
    <comment ref="I41" authorId="0" shapeId="0" xr:uid="{00000000-0006-0000-0200-000003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Ingresar el número del documento RP</t>
        </r>
      </text>
    </comment>
    <comment ref="Y41" authorId="0" shapeId="0" xr:uid="{00000000-0006-0000-0200-000004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Corresponde al valor a pagar de acuerdo a la distribución presupuestal del RP, tener en cuenta que en los contratos con varias fuentes de financiación se debe llevar control del presupuesto asignado para cada rubro.</t>
        </r>
      </text>
    </comment>
    <comment ref="E61" authorId="0" shapeId="0" xr:uid="{00000000-0006-0000-0200-000005000000}">
      <text>
        <r>
          <rPr>
            <b/>
            <sz val="11"/>
            <color indexed="81"/>
            <rFont val="Tahoma"/>
            <family val="2"/>
          </rPr>
          <t>Ley Aragón :</t>
        </r>
        <r>
          <rPr>
            <sz val="11"/>
            <color indexed="81"/>
            <rFont val="Tahoma"/>
            <family val="2"/>
          </rPr>
          <t xml:space="preserve">
REEMPLAZAR FECHA EN FORMATO DD/MM/AAAA
</t>
        </r>
      </text>
    </comment>
    <comment ref="K61" authorId="1" shapeId="0" xr:uid="{00000000-0006-0000-0200-000006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61" authorId="1" shapeId="0" xr:uid="{00000000-0006-0000-0200-000007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Q61" authorId="1" shapeId="0" xr:uid="{00000000-0006-0000-0200-000008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4" authorId="1" shapeId="0" xr:uid="{00000000-0006-0000-0200-000009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3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3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3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5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5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5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7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7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7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8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8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8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9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9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9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A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A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A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B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B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B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C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C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C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C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D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D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D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ADMON1</author>
    <author>ocastellanosb</author>
  </authors>
  <commentList>
    <comment ref="G50" authorId="0" shapeId="0" xr:uid="{00000000-0006-0000-0E00-000001000000}">
      <text>
        <r>
          <rPr>
            <b/>
            <sz val="8"/>
            <color indexed="81"/>
            <rFont val="Tahoma"/>
            <family val="2"/>
          </rPr>
          <t>ADMON1: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7" authorId="1" shapeId="0" xr:uid="{00000000-0006-0000-0E00-000002000000}">
      <text>
        <r>
          <rPr>
            <b/>
            <sz val="12"/>
            <color indexed="81"/>
            <rFont val="Tahoma"/>
            <family val="2"/>
          </rPr>
          <t>Solo diligencie esta casilla, cuando en la forma de pago del contrato quede expresamente definido que se pagará de acuerdo con porcentajes de ejecución previamente programados.</t>
        </r>
      </text>
    </comment>
    <comment ref="N57" authorId="1" shapeId="0" xr:uid="{00000000-0006-0000-0E00-000003000000}">
      <text>
        <r>
          <rPr>
            <b/>
            <sz val="12"/>
            <color indexed="81"/>
            <rFont val="Tahoma"/>
            <family val="2"/>
          </rPr>
          <t xml:space="preserve">Es el acumulado de los pagos  efectuados hasta la fecha. </t>
        </r>
        <r>
          <rPr>
            <b/>
            <u/>
            <sz val="12"/>
            <color indexed="81"/>
            <rFont val="Tahoma"/>
            <family val="2"/>
          </rPr>
          <t>NO SE DEBE INCLUIR</t>
        </r>
        <r>
          <rPr>
            <b/>
            <sz val="12"/>
            <color indexed="81"/>
            <rFont val="Tahoma"/>
            <family val="2"/>
          </rPr>
          <t xml:space="preserve"> el valor total a pagar contenido en el presente certificado.</t>
        </r>
      </text>
    </comment>
    <comment ref="C60" authorId="1" shapeId="0" xr:uid="{00000000-0006-0000-0E00-000004000000}">
      <text>
        <r>
          <rPr>
            <b/>
            <sz val="12"/>
            <color indexed="81"/>
            <rFont val="Tahoma"/>
            <family val="2"/>
          </rPr>
          <t>Por favor registrar los aspectos que afecten el presente contrato, como por ejemplo: embargos, adiciones, suspensiones, terminación anticipada, prórrogas y/o cesiones, entre otras, indicando para cada caso las fechas respectivas y los valores correspondientes. Para los casos en que corresponda a una cesión, es necesario el nombre e identificación del contratista que cedió el Contrato.</t>
        </r>
      </text>
    </comment>
  </commentList>
</comments>
</file>

<file path=xl/sharedStrings.xml><?xml version="1.0" encoding="utf-8"?>
<sst xmlns="http://schemas.openxmlformats.org/spreadsheetml/2006/main" count="1295" uniqueCount="161">
  <si>
    <t xml:space="preserve">CERTIFICADO DE SUPERVISIÓN </t>
  </si>
  <si>
    <t>OBJETO</t>
  </si>
  <si>
    <t>DE</t>
  </si>
  <si>
    <t>Nº</t>
  </si>
  <si>
    <t>Banco</t>
  </si>
  <si>
    <t>Tipo cuenta</t>
  </si>
  <si>
    <t>Adición 2</t>
  </si>
  <si>
    <t>Valor total del contrato</t>
  </si>
  <si>
    <t>Plazo de Ejecución</t>
  </si>
  <si>
    <t xml:space="preserve">IVA </t>
  </si>
  <si>
    <t xml:space="preserve">VALOR TOTAL A PAGAR </t>
  </si>
  <si>
    <t>SALDO POR PAGAR</t>
  </si>
  <si>
    <t>CERTIFICACIÓN</t>
  </si>
  <si>
    <t xml:space="preserve">Que, </t>
  </si>
  <si>
    <t>de</t>
  </si>
  <si>
    <t xml:space="preserve"> incluido IVA.</t>
  </si>
  <si>
    <t>DESDE</t>
  </si>
  <si>
    <t>HASTA</t>
  </si>
  <si>
    <t>Tipo de Contrato</t>
  </si>
  <si>
    <t>Contrato Nº</t>
  </si>
  <si>
    <t>Documento de Identidad</t>
  </si>
  <si>
    <t>Días</t>
  </si>
  <si>
    <t xml:space="preserve">INFORMACIÓN FINANCIERA </t>
  </si>
  <si>
    <t>INFORMACIÓN  PRESUPUESTAL</t>
  </si>
  <si>
    <t>EPS</t>
  </si>
  <si>
    <t>Número de planilla</t>
  </si>
  <si>
    <t>Fondo  Pensiones</t>
  </si>
  <si>
    <t>Corriente</t>
  </si>
  <si>
    <t>Día</t>
  </si>
  <si>
    <t>Mes</t>
  </si>
  <si>
    <t>Año</t>
  </si>
  <si>
    <t>Prórroga 1</t>
  </si>
  <si>
    <t>VALOR PAGADO</t>
  </si>
  <si>
    <t>, de acuerdo con el informe presentado.</t>
  </si>
  <si>
    <t>cumplió a satisfacción con el objeto del (la)</t>
  </si>
  <si>
    <t>Prórroga 2</t>
  </si>
  <si>
    <t>Prórroga 3</t>
  </si>
  <si>
    <t>Adición 3</t>
  </si>
  <si>
    <t>INFORMACIÓN CONTRACTUAL</t>
  </si>
  <si>
    <t>meses, y</t>
  </si>
  <si>
    <t>días</t>
  </si>
  <si>
    <t>Prórrogas</t>
  </si>
  <si>
    <t>No. Certificado Disponibilidad Presupuestal</t>
  </si>
  <si>
    <t>No. Registro Presupuestal</t>
  </si>
  <si>
    <t>Fecha Registro Presupuestal</t>
  </si>
  <si>
    <t>Código Rubro Presupuestal</t>
  </si>
  <si>
    <t>INFORMACIÓN DE APORTES A SEGURIDAD SOCIAL</t>
  </si>
  <si>
    <t>***Nota: El pago del Fondo de Solidaridad Pensional - FSP, aplica únicamente cuando la base de cotizacion es mayor a 4 SMMLV.</t>
  </si>
  <si>
    <t>INFORMACIÓN PARA LA LIQUIDACIÓN DEL PAGO</t>
  </si>
  <si>
    <t>No. PAGO</t>
  </si>
  <si>
    <t>PERÍODO DE PAGO</t>
  </si>
  <si>
    <t>PORCENTAJE DE EJECUCIÓN</t>
  </si>
  <si>
    <t>VALOR A PAGAR SIN IVA</t>
  </si>
  <si>
    <t>, identificado(a) con</t>
  </si>
  <si>
    <t>Que se verificaron los pagos efectuados por el (la) contratista al Sistema General de Seguridad Social y/o aportes parafiscales, correspondiente al presente periodo de pago, los cuales se efectuaron de acuerdo con lo establecido en la Ley 789/2002 y Decreto 1703/2002, y demás Decretos Reglamentarios.</t>
  </si>
  <si>
    <t>Que, con base en lo anterior se avala el pago por un valor de:</t>
  </si>
  <si>
    <t>Fecha de expedición:</t>
  </si>
  <si>
    <t>Nombre del (la) Contratista</t>
  </si>
  <si>
    <t>Nombre de Supervisor(a) o Interventor(a)</t>
  </si>
  <si>
    <t>Cargo Supervisor(a) o Interventor(a)</t>
  </si>
  <si>
    <t>Número cuenta del (a) Contratista</t>
  </si>
  <si>
    <t>El / la suscrito (a) supervisor (a) / interventor (a) certifica:</t>
  </si>
  <si>
    <t>Fecha de inicio (Según Acta)</t>
  </si>
  <si>
    <t>Fecha de terminación (Incluye prórrogas)</t>
  </si>
  <si>
    <t>Valor  a pagar por Rubro Presupuestal en el presente pago</t>
  </si>
  <si>
    <t>MUNICIPIO DE QUIBDO</t>
  </si>
  <si>
    <t>SUPERVISOR</t>
  </si>
  <si>
    <t>A.R.P</t>
  </si>
  <si>
    <t xml:space="preserve">A.R.P </t>
  </si>
  <si>
    <t xml:space="preserve">Pension </t>
  </si>
  <si>
    <t xml:space="preserve">Salud </t>
  </si>
  <si>
    <t>APORTE ALCALDIA</t>
  </si>
  <si>
    <t>POSITIVA</t>
  </si>
  <si>
    <t>ADICION 1</t>
  </si>
  <si>
    <t>NUEVA EPS</t>
  </si>
  <si>
    <t>Bancolombia</t>
  </si>
  <si>
    <t>INTERVENTORIA</t>
  </si>
  <si>
    <t>PORVENIR</t>
  </si>
  <si>
    <t>C.C.</t>
  </si>
  <si>
    <t>Adición 1</t>
  </si>
  <si>
    <t>sede administrativa</t>
  </si>
  <si>
    <t>sede administratica</t>
  </si>
  <si>
    <t>instituciones educativas</t>
  </si>
  <si>
    <t>sedes educativas</t>
  </si>
  <si>
    <t>iva</t>
  </si>
  <si>
    <t>total</t>
  </si>
  <si>
    <t>subtotal</t>
  </si>
  <si>
    <t>porcentaje</t>
  </si>
  <si>
    <t>iva proporcional</t>
  </si>
  <si>
    <t>SEGURIDAD NÁPOLES</t>
  </si>
  <si>
    <t>LA PRESTACIÓN DEL SERVICIO DE VIGILANCIA Y SEGURIDAD PRIVADA CON ARMA PARA LAS 16 INSTITUCIONES EDUCATIVA (SEDE PREINCIPAL), 2 SEDES EDUCATIAS DEL MUNICIPIO DE QUIBDÓ, LA SEDE ADMINISTRATIVA DE LA SECRETARÍA DE EDUCACIÓN, LA ADMINISTRACIÓN CENTRAL Y LAS DIFERENTES SEDES Y ÁREAS DE LA ALCALDÍA MUNICPAL DE QUIBDÓ.</t>
  </si>
  <si>
    <t>860523408-6</t>
  </si>
  <si>
    <t>DAICY MARIELA MOSQUERA - HAROLD RAMIREZ OROZCO</t>
  </si>
  <si>
    <t>SUPERVISORES</t>
  </si>
  <si>
    <t>17391176580</t>
  </si>
  <si>
    <t>1 DE ABRIL DE 2016</t>
  </si>
  <si>
    <t>31 DE DICIEMBRE DE 2016</t>
  </si>
  <si>
    <t>,</t>
  </si>
  <si>
    <t>384</t>
  </si>
  <si>
    <t>1.1.2.2.2.1.3.2.1</t>
  </si>
  <si>
    <t>1.2.1.3.2.2.4.2.4</t>
  </si>
  <si>
    <t>1.2.1.3.2.3.2.2.06</t>
  </si>
  <si>
    <t>SE CANCELA FACTURA DE VENTA 286 DE 2016</t>
  </si>
  <si>
    <t>SE CANCELA FACTURA DE VENTA 280 DE 2016</t>
  </si>
  <si>
    <t>PRESTACIÓN DE SERVICIOS</t>
  </si>
  <si>
    <t>SE CANCELA FACTURA DE VENTA 305 DE 2016</t>
  </si>
  <si>
    <t>administración central</t>
  </si>
  <si>
    <t>sede administración central</t>
  </si>
  <si>
    <t>--</t>
  </si>
  <si>
    <t>SE CANCELA FACTURA DE VENTA 344 DE 2016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</si>
  <si>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</si>
  <si>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 CANCELA FACTURA DE VENTA 355 DE 2016</t>
  </si>
  <si>
    <t>31/11/2016</t>
  </si>
  <si>
    <t>SE CANCELA FACTURA DE VENTA 360 DE 2016</t>
  </si>
  <si>
    <t>SE CANCELA FACTURA DE VENTA 384 DE 2016</t>
  </si>
  <si>
    <t>1630</t>
  </si>
  <si>
    <t>1.1.1.2.6.2.05</t>
  </si>
  <si>
    <t>SE CANCELA FACTURA DE VENTA 404 DE 2017</t>
  </si>
  <si>
    <t>15 DE FEBRERO DE 2017</t>
  </si>
  <si>
    <t>VALOR DEL CONTRATO</t>
  </si>
  <si>
    <t>enero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</si>
  <si>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</si>
  <si>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</si>
  <si>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</si>
  <si>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</si>
  <si>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</si>
  <si>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</si>
  <si>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</si>
  <si>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</si>
  <si>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</si>
  <si>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</si>
  <si>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>MANIFESTACIÓN DE INTENCIÓN</t>
  </si>
  <si>
    <t>CERTIFICADO DE SUPERVISIÓN Y AUTORIZACIÓN DE DESEMBOLSO</t>
  </si>
  <si>
    <t>Una vez revisada la documentación enviada por el señor</t>
  </si>
  <si>
    <t>en su calidad de contratista/convenido del Municipio de Quibdó</t>
  </si>
  <si>
    <t>de acuerdo con el contrato (convenio) No</t>
  </si>
  <si>
    <t xml:space="preserve">en cumplimiento de la cláusula </t>
  </si>
  <si>
    <t xml:space="preserve">del convenio/contrato en mención, solicito respetuosamente realizar </t>
  </si>
  <si>
    <t>el trámite de pago (o desembolso), con base en la siguiente información y anexos de cumplimiento que se relacionan:</t>
  </si>
  <si>
    <t>OBSERVACIONES Y ANEXOS:</t>
  </si>
  <si>
    <t>BBVA</t>
  </si>
  <si>
    <t>Banco AV Villas</t>
  </si>
  <si>
    <t>Banco de Bogotá</t>
  </si>
  <si>
    <t>Banco Agrario</t>
  </si>
  <si>
    <t>Bancoomeva</t>
  </si>
  <si>
    <t>Banco Popular</t>
  </si>
  <si>
    <t>Ahorro</t>
  </si>
  <si>
    <t>Fiducuenta</t>
  </si>
  <si>
    <t>julio</t>
  </si>
  <si>
    <t>SEGUIMIENTO A LA EJECUCIÓN CONTRACTUAL</t>
  </si>
  <si>
    <t>VALOR INICIAL</t>
  </si>
  <si>
    <t>VALOR TOTAL</t>
  </si>
  <si>
    <t>LEIDY SAMIRA DIAZ MARTINEZ</t>
  </si>
  <si>
    <t>PRESTACION DE SERVICIOS</t>
  </si>
  <si>
    <t>JORGE TADEO LOZANO RUEDA</t>
  </si>
  <si>
    <t>SECRETARIO GENERAL</t>
  </si>
  <si>
    <t>230-380-19171-8</t>
  </si>
  <si>
    <t>FEBRERO</t>
  </si>
  <si>
    <t xml:space="preserve"> </t>
  </si>
  <si>
    <t>Diana Andrea Mosquera Garcia</t>
  </si>
  <si>
    <t>Secretaria de Inclusión y Cohesión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</si>
</sst>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_-* #,##0.00\ _€_-;\-* #,##0.00\ _€_-;_-* &quot;-&quot;??\ _€_-;_-@_-"/>
    <numFmt numFmtId="167" formatCode="_ * #,##0.00_ ;_ * \-#,##0.00_ ;_ * &quot;-&quot;??_ ;_ @_ "/>
    <numFmt numFmtId="168" formatCode="_ * #,##0_ ;_ * \-#,##0_ ;_ * &quot;-&quot;??_ ;_ @_ "/>
    <numFmt numFmtId="169" formatCode="#,##0\ _€"/>
    <numFmt numFmtId="170" formatCode="[$-C0A]d\-mmm\-yyyy;@"/>
    <numFmt numFmtId="171" formatCode="[$$-240A]\ #,##0_ ;\-[$$-240A]\ #,##0\ "/>
    <numFmt numFmtId="172" formatCode="[$-C0A]d\-mmm\-yy;@"/>
    <numFmt numFmtId="173" formatCode="_-* #,##0\ _€_-;\-* #,##0\ _€_-;_-* &quot;-&quot;??\ _€_-;_-@_-"/>
    <numFmt numFmtId="174" formatCode="#,##0_ ;\-#,##0\ 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indexed="81"/>
      <name val="Tahoma"/>
      <family val="2"/>
    </font>
    <font>
      <sz val="11"/>
      <color theme="1"/>
      <name val="Calibri"/>
      <family val="2"/>
      <scheme val="minor"/>
    </font>
    <font>
      <b/>
      <u/>
      <sz val="12"/>
      <color indexed="81"/>
      <name val="Tahoma"/>
      <family val="2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u/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8"/>
      <name val="Calibri"/>
      <family val="2"/>
      <scheme val="minor"/>
    </font>
    <font>
      <b/>
      <sz val="8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167" fontId="2" fillId="0" borderId="0" applyFont="0" applyFill="0" applyBorder="0" applyAlignment="0" applyProtection="0"/>
    <xf numFmtId="0" fontId="1" fillId="0" borderId="0"/>
    <xf numFmtId="167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00">
    <xf numFmtId="0" fontId="0" fillId="0" borderId="0" xfId="0"/>
    <xf numFmtId="0" fontId="6" fillId="0" borderId="0" xfId="0" applyFont="1"/>
    <xf numFmtId="0" fontId="6" fillId="4" borderId="1" xfId="0" applyFont="1" applyFill="1" applyBorder="1" applyProtection="1">
      <protection hidden="1"/>
    </xf>
    <xf numFmtId="0" fontId="6" fillId="4" borderId="0" xfId="0" applyFont="1" applyFill="1" applyProtection="1">
      <protection hidden="1"/>
    </xf>
    <xf numFmtId="0" fontId="6" fillId="4" borderId="2" xfId="0" applyFont="1" applyFill="1" applyBorder="1" applyProtection="1">
      <protection hidden="1"/>
    </xf>
    <xf numFmtId="0" fontId="9" fillId="2" borderId="3" xfId="1" applyFont="1" applyFill="1" applyBorder="1" applyAlignment="1" applyProtection="1">
      <alignment vertical="center"/>
      <protection hidden="1"/>
    </xf>
    <xf numFmtId="0" fontId="9" fillId="2" borderId="4" xfId="1" applyFont="1" applyFill="1" applyBorder="1" applyAlignment="1" applyProtection="1">
      <alignment vertical="center"/>
      <protection hidden="1"/>
    </xf>
    <xf numFmtId="0" fontId="9" fillId="2" borderId="5" xfId="1" applyFont="1" applyFill="1" applyBorder="1" applyAlignment="1" applyProtection="1">
      <alignment vertical="center"/>
      <protection hidden="1"/>
    </xf>
    <xf numFmtId="0" fontId="6" fillId="0" borderId="1" xfId="0" applyFont="1" applyBorder="1"/>
    <xf numFmtId="0" fontId="9" fillId="2" borderId="1" xfId="1" applyFont="1" applyFill="1" applyBorder="1" applyAlignment="1" applyProtection="1">
      <alignment vertical="center"/>
      <protection hidden="1"/>
    </xf>
    <xf numFmtId="0" fontId="9" fillId="2" borderId="0" xfId="1" applyFont="1" applyFill="1" applyAlignment="1" applyProtection="1">
      <alignment vertical="center"/>
      <protection hidden="1"/>
    </xf>
    <xf numFmtId="0" fontId="9" fillId="2" borderId="2" xfId="1" applyFont="1" applyFill="1" applyBorder="1" applyAlignment="1" applyProtection="1">
      <alignment vertical="center"/>
      <protection hidden="1"/>
    </xf>
    <xf numFmtId="0" fontId="8" fillId="0" borderId="2" xfId="1" applyFont="1" applyBorder="1" applyAlignment="1" applyProtection="1">
      <alignment horizontal="center" vertical="center"/>
      <protection hidden="1"/>
    </xf>
    <xf numFmtId="0" fontId="9" fillId="4" borderId="1" xfId="1" applyFont="1" applyFill="1" applyBorder="1" applyAlignment="1" applyProtection="1">
      <alignment vertical="center"/>
      <protection hidden="1"/>
    </xf>
    <xf numFmtId="0" fontId="9" fillId="4" borderId="0" xfId="1" applyFont="1" applyFill="1" applyAlignment="1" applyProtection="1">
      <alignment vertical="center"/>
      <protection hidden="1"/>
    </xf>
    <xf numFmtId="0" fontId="9" fillId="4" borderId="2" xfId="1" applyFont="1" applyFill="1" applyBorder="1" applyAlignment="1" applyProtection="1">
      <alignment vertical="center"/>
      <protection hidden="1"/>
    </xf>
    <xf numFmtId="0" fontId="6" fillId="4" borderId="0" xfId="0" applyFont="1" applyFill="1"/>
    <xf numFmtId="0" fontId="13" fillId="4" borderId="0" xfId="1" applyFont="1" applyFill="1" applyAlignment="1" applyProtection="1">
      <alignment horizontal="right" vertical="center"/>
      <protection hidden="1"/>
    </xf>
    <xf numFmtId="169" fontId="13" fillId="4" borderId="0" xfId="2" applyNumberFormat="1" applyFont="1" applyFill="1" applyBorder="1" applyAlignment="1" applyProtection="1">
      <alignment horizontal="center" vertical="center"/>
      <protection hidden="1"/>
    </xf>
    <xf numFmtId="0" fontId="9" fillId="4" borderId="0" xfId="1" applyFont="1" applyFill="1" applyAlignment="1" applyProtection="1">
      <alignment horizontal="right" vertical="center"/>
      <protection hidden="1"/>
    </xf>
    <xf numFmtId="0" fontId="14" fillId="0" borderId="2" xfId="1" applyFont="1" applyBorder="1" applyAlignment="1" applyProtection="1">
      <alignment horizontal="center"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4" fillId="2" borderId="0" xfId="1" applyFont="1" applyFill="1" applyAlignment="1" applyProtection="1">
      <alignment horizontal="center" vertical="center"/>
      <protection hidden="1"/>
    </xf>
    <xf numFmtId="0" fontId="9" fillId="2" borderId="0" xfId="1" applyFont="1" applyFill="1" applyAlignment="1" applyProtection="1">
      <alignment horizontal="center" vertical="center"/>
      <protection hidden="1"/>
    </xf>
    <xf numFmtId="0" fontId="14" fillId="2" borderId="2" xfId="1" applyFont="1" applyFill="1" applyBorder="1" applyAlignment="1" applyProtection="1">
      <alignment horizontal="center" vertical="center"/>
      <protection hidden="1"/>
    </xf>
    <xf numFmtId="0" fontId="9" fillId="2" borderId="0" xfId="1" applyFont="1" applyFill="1" applyAlignment="1" applyProtection="1">
      <alignment horizontal="left" vertical="center"/>
      <protection hidden="1"/>
    </xf>
    <xf numFmtId="0" fontId="9" fillId="4" borderId="10" xfId="1" applyFont="1" applyFill="1" applyBorder="1" applyAlignment="1" applyProtection="1">
      <alignment vertical="center"/>
      <protection locked="0"/>
    </xf>
    <xf numFmtId="14" fontId="10" fillId="2" borderId="0" xfId="1" applyNumberFormat="1" applyFont="1" applyFill="1" applyAlignment="1" applyProtection="1">
      <alignment horizontal="center" vertical="center"/>
      <protection hidden="1"/>
    </xf>
    <xf numFmtId="0" fontId="15" fillId="4" borderId="0" xfId="1" applyFont="1" applyFill="1" applyAlignment="1" applyProtection="1">
      <alignment vertical="top" wrapText="1"/>
      <protection hidden="1"/>
    </xf>
    <xf numFmtId="168" fontId="13" fillId="4" borderId="0" xfId="2" applyNumberFormat="1" applyFont="1" applyFill="1" applyBorder="1" applyAlignment="1" applyProtection="1">
      <alignment vertical="center"/>
      <protection hidden="1"/>
    </xf>
    <xf numFmtId="0" fontId="14" fillId="4" borderId="2" xfId="1" applyFont="1" applyFill="1" applyBorder="1" applyAlignment="1" applyProtection="1">
      <alignment horizontal="center" vertical="center"/>
      <protection hidden="1"/>
    </xf>
    <xf numFmtId="0" fontId="6" fillId="4" borderId="0" xfId="0" applyFont="1" applyFill="1" applyAlignment="1" applyProtection="1">
      <alignment horizontal="center"/>
      <protection hidden="1"/>
    </xf>
    <xf numFmtId="0" fontId="10" fillId="4" borderId="0" xfId="0" applyFont="1" applyFill="1" applyAlignment="1" applyProtection="1">
      <alignment horizontal="center" vertical="center"/>
      <protection hidden="1"/>
    </xf>
    <xf numFmtId="170" fontId="13" fillId="4" borderId="0" xfId="0" applyNumberFormat="1" applyFont="1" applyFill="1" applyAlignment="1" applyProtection="1">
      <alignment horizontal="right" vertical="center"/>
      <protection hidden="1"/>
    </xf>
    <xf numFmtId="0" fontId="9" fillId="4" borderId="37" xfId="1" applyFont="1" applyFill="1" applyBorder="1" applyAlignment="1" applyProtection="1">
      <alignment vertical="center"/>
      <protection hidden="1"/>
    </xf>
    <xf numFmtId="0" fontId="9" fillId="4" borderId="35" xfId="1" applyFont="1" applyFill="1" applyBorder="1" applyAlignment="1" applyProtection="1">
      <alignment vertical="center"/>
      <protection hidden="1"/>
    </xf>
    <xf numFmtId="0" fontId="9" fillId="4" borderId="36" xfId="1" applyFont="1" applyFill="1" applyBorder="1" applyAlignment="1" applyProtection="1">
      <alignment vertical="center"/>
      <protection hidden="1"/>
    </xf>
    <xf numFmtId="0" fontId="6" fillId="2" borderId="1" xfId="0" applyFont="1" applyFill="1" applyBorder="1" applyAlignment="1" applyProtection="1">
      <alignment vertical="center"/>
      <protection hidden="1"/>
    </xf>
    <xf numFmtId="0" fontId="6" fillId="4" borderId="0" xfId="0" applyFont="1" applyFill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0" fontId="6" fillId="4" borderId="2" xfId="0" applyFont="1" applyFill="1" applyBorder="1"/>
    <xf numFmtId="171" fontId="10" fillId="4" borderId="0" xfId="2" applyNumberFormat="1" applyFont="1" applyFill="1" applyBorder="1" applyAlignment="1" applyProtection="1">
      <alignment horizontal="center" vertical="center"/>
      <protection hidden="1"/>
    </xf>
    <xf numFmtId="0" fontId="15" fillId="4" borderId="0" xfId="1" applyFont="1" applyFill="1" applyAlignment="1" applyProtection="1">
      <alignment horizontal="center" vertical="center"/>
      <protection hidden="1"/>
    </xf>
    <xf numFmtId="0" fontId="9" fillId="4" borderId="6" xfId="1" applyFont="1" applyFill="1" applyBorder="1" applyAlignment="1" applyProtection="1">
      <alignment vertical="center"/>
      <protection hidden="1"/>
    </xf>
    <xf numFmtId="0" fontId="9" fillId="4" borderId="7" xfId="1" applyFont="1" applyFill="1" applyBorder="1" applyAlignment="1" applyProtection="1">
      <alignment vertical="center"/>
      <protection hidden="1"/>
    </xf>
    <xf numFmtId="0" fontId="9" fillId="4" borderId="8" xfId="1" applyFont="1" applyFill="1" applyBorder="1" applyAlignment="1" applyProtection="1">
      <alignment vertical="center"/>
      <protection hidden="1"/>
    </xf>
    <xf numFmtId="0" fontId="9" fillId="0" borderId="0" xfId="3" applyFont="1" applyAlignment="1">
      <alignment vertical="center"/>
    </xf>
    <xf numFmtId="0" fontId="8" fillId="4" borderId="0" xfId="1" applyFont="1" applyFill="1" applyAlignment="1" applyProtection="1">
      <alignment vertical="center"/>
      <protection hidden="1"/>
    </xf>
    <xf numFmtId="0" fontId="13" fillId="4" borderId="9" xfId="1" applyFont="1" applyFill="1" applyBorder="1" applyProtection="1">
      <protection locked="0"/>
    </xf>
    <xf numFmtId="0" fontId="13" fillId="4" borderId="0" xfId="1" applyFont="1" applyFill="1" applyAlignment="1" applyProtection="1">
      <alignment horizontal="left" vertical="center"/>
      <protection hidden="1"/>
    </xf>
    <xf numFmtId="0" fontId="13" fillId="4" borderId="0" xfId="1" applyFont="1" applyFill="1" applyAlignment="1" applyProtection="1">
      <alignment horizontal="center" vertical="center"/>
      <protection hidden="1"/>
    </xf>
    <xf numFmtId="0" fontId="13" fillId="4" borderId="0" xfId="1" applyFont="1" applyFill="1" applyAlignment="1" applyProtection="1">
      <alignment vertical="center"/>
      <protection hidden="1"/>
    </xf>
    <xf numFmtId="0" fontId="9" fillId="4" borderId="0" xfId="1" applyFont="1" applyFill="1" applyAlignment="1" applyProtection="1">
      <alignment horizontal="center" vertical="center"/>
      <protection hidden="1"/>
    </xf>
    <xf numFmtId="0" fontId="14" fillId="4" borderId="0" xfId="1" applyFont="1" applyFill="1" applyAlignment="1" applyProtection="1">
      <alignment horizontal="center" vertical="center"/>
      <protection hidden="1"/>
    </xf>
    <xf numFmtId="49" fontId="9" fillId="4" borderId="0" xfId="1" applyNumberFormat="1" applyFont="1" applyFill="1" applyAlignment="1" applyProtection="1">
      <alignment horizontal="center" vertical="center"/>
      <protection hidden="1"/>
    </xf>
    <xf numFmtId="0" fontId="10" fillId="2" borderId="0" xfId="1" applyFont="1" applyFill="1" applyAlignment="1" applyProtection="1">
      <alignment horizontal="center" vertical="center"/>
      <protection hidden="1"/>
    </xf>
    <xf numFmtId="0" fontId="9" fillId="2" borderId="44" xfId="1" applyFont="1" applyFill="1" applyBorder="1" applyAlignment="1" applyProtection="1">
      <alignment vertical="center"/>
      <protection hidden="1"/>
    </xf>
    <xf numFmtId="0" fontId="9" fillId="2" borderId="45" xfId="1" applyFont="1" applyFill="1" applyBorder="1" applyAlignment="1" applyProtection="1">
      <alignment vertical="center"/>
      <protection hidden="1"/>
    </xf>
    <xf numFmtId="0" fontId="9" fillId="2" borderId="46" xfId="1" applyFont="1" applyFill="1" applyBorder="1" applyAlignment="1" applyProtection="1">
      <alignment vertical="center"/>
      <protection hidden="1"/>
    </xf>
    <xf numFmtId="0" fontId="6" fillId="0" borderId="47" xfId="0" applyFont="1" applyBorder="1"/>
    <xf numFmtId="0" fontId="9" fillId="2" borderId="47" xfId="1" applyFont="1" applyFill="1" applyBorder="1" applyAlignment="1" applyProtection="1">
      <alignment vertical="center"/>
      <protection hidden="1"/>
    </xf>
    <xf numFmtId="0" fontId="9" fillId="2" borderId="48" xfId="1" applyFont="1" applyFill="1" applyBorder="1" applyAlignment="1" applyProtection="1">
      <alignment vertical="center"/>
      <protection hidden="1"/>
    </xf>
    <xf numFmtId="0" fontId="8" fillId="0" borderId="48" xfId="1" applyFont="1" applyBorder="1" applyAlignment="1" applyProtection="1">
      <alignment horizontal="center" vertical="center"/>
      <protection hidden="1"/>
    </xf>
    <xf numFmtId="0" fontId="6" fillId="4" borderId="47" xfId="0" applyFont="1" applyFill="1" applyBorder="1" applyProtection="1">
      <protection hidden="1"/>
    </xf>
    <xf numFmtId="0" fontId="6" fillId="4" borderId="48" xfId="0" applyFont="1" applyFill="1" applyBorder="1" applyProtection="1">
      <protection hidden="1"/>
    </xf>
    <xf numFmtId="0" fontId="9" fillId="4" borderId="47" xfId="1" applyFont="1" applyFill="1" applyBorder="1" applyAlignment="1" applyProtection="1">
      <alignment vertical="center"/>
      <protection hidden="1"/>
    </xf>
    <xf numFmtId="0" fontId="9" fillId="4" borderId="48" xfId="1" applyFont="1" applyFill="1" applyBorder="1" applyAlignment="1" applyProtection="1">
      <alignment vertical="center"/>
      <protection hidden="1"/>
    </xf>
    <xf numFmtId="0" fontId="14" fillId="0" borderId="48" xfId="1" applyFont="1" applyBorder="1" applyAlignment="1" applyProtection="1">
      <alignment horizontal="center" vertical="center"/>
      <protection hidden="1"/>
    </xf>
    <xf numFmtId="0" fontId="14" fillId="2" borderId="48" xfId="1" applyFont="1" applyFill="1" applyBorder="1" applyAlignment="1" applyProtection="1">
      <alignment horizontal="center" vertical="center"/>
      <protection hidden="1"/>
    </xf>
    <xf numFmtId="0" fontId="14" fillId="4" borderId="48" xfId="1" applyFont="1" applyFill="1" applyBorder="1" applyAlignment="1" applyProtection="1">
      <alignment horizontal="center" vertical="center"/>
      <protection hidden="1"/>
    </xf>
    <xf numFmtId="0" fontId="6" fillId="2" borderId="47" xfId="0" applyFont="1" applyFill="1" applyBorder="1" applyAlignment="1" applyProtection="1">
      <alignment vertical="center"/>
      <protection hidden="1"/>
    </xf>
    <xf numFmtId="0" fontId="6" fillId="4" borderId="48" xfId="0" applyFont="1" applyFill="1" applyBorder="1"/>
    <xf numFmtId="0" fontId="9" fillId="4" borderId="49" xfId="1" applyFont="1" applyFill="1" applyBorder="1" applyAlignment="1" applyProtection="1">
      <alignment vertical="center"/>
      <protection hidden="1"/>
    </xf>
    <xf numFmtId="0" fontId="9" fillId="4" borderId="50" xfId="1" applyFont="1" applyFill="1" applyBorder="1" applyAlignment="1" applyProtection="1">
      <alignment vertical="center"/>
      <protection hidden="1"/>
    </xf>
    <xf numFmtId="0" fontId="9" fillId="4" borderId="51" xfId="1" applyFont="1" applyFill="1" applyBorder="1" applyAlignment="1" applyProtection="1">
      <alignment vertical="center"/>
      <protection hidden="1"/>
    </xf>
    <xf numFmtId="166" fontId="0" fillId="0" borderId="0" xfId="7" applyFont="1"/>
    <xf numFmtId="43" fontId="0" fillId="0" borderId="0" xfId="0" applyNumberFormat="1"/>
    <xf numFmtId="43" fontId="22" fillId="0" borderId="0" xfId="0" applyNumberFormat="1" applyFont="1"/>
    <xf numFmtId="166" fontId="22" fillId="0" borderId="0" xfId="7" applyFont="1"/>
    <xf numFmtId="9" fontId="0" fillId="0" borderId="0" xfId="8" applyFont="1"/>
    <xf numFmtId="0" fontId="14" fillId="4" borderId="0" xfId="1" applyFont="1" applyFill="1" applyAlignment="1" applyProtection="1">
      <alignment vertical="center"/>
      <protection hidden="1"/>
    </xf>
    <xf numFmtId="166" fontId="6" fillId="0" borderId="0" xfId="7" applyFont="1"/>
    <xf numFmtId="166" fontId="0" fillId="0" borderId="0" xfId="0" applyNumberFormat="1"/>
    <xf numFmtId="0" fontId="0" fillId="0" borderId="0" xfId="0" quotePrefix="1"/>
    <xf numFmtId="168" fontId="6" fillId="0" borderId="0" xfId="0" applyNumberFormat="1" applyFont="1" applyAlignment="1">
      <alignment vertical="center"/>
    </xf>
    <xf numFmtId="173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3" fontId="23" fillId="0" borderId="51" xfId="0" applyNumberFormat="1" applyFont="1" applyBorder="1" applyAlignment="1">
      <alignment horizontal="right" vertical="center" wrapText="1"/>
    </xf>
    <xf numFmtId="168" fontId="6" fillId="0" borderId="0" xfId="0" applyNumberFormat="1" applyFont="1"/>
    <xf numFmtId="9" fontId="6" fillId="0" borderId="0" xfId="8" applyFont="1"/>
    <xf numFmtId="0" fontId="6" fillId="0" borderId="0" xfId="0" applyFont="1" applyProtection="1">
      <protection hidden="1"/>
    </xf>
    <xf numFmtId="166" fontId="6" fillId="0" borderId="0" xfId="7" applyFont="1" applyProtection="1">
      <protection hidden="1"/>
    </xf>
    <xf numFmtId="164" fontId="6" fillId="0" borderId="0" xfId="0" applyNumberFormat="1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168" fontId="6" fillId="0" borderId="0" xfId="0" applyNumberFormat="1" applyFont="1" applyAlignment="1" applyProtection="1">
      <alignment vertical="center"/>
      <protection hidden="1"/>
    </xf>
    <xf numFmtId="168" fontId="6" fillId="0" borderId="0" xfId="0" applyNumberFormat="1" applyFont="1" applyProtection="1">
      <protection hidden="1"/>
    </xf>
    <xf numFmtId="14" fontId="13" fillId="4" borderId="34" xfId="0" applyNumberFormat="1" applyFont="1" applyFill="1" applyBorder="1" applyAlignment="1" applyProtection="1">
      <alignment horizontal="center" vertical="center"/>
      <protection locked="0"/>
    </xf>
    <xf numFmtId="0" fontId="13" fillId="4" borderId="35" xfId="0" applyFont="1" applyFill="1" applyBorder="1" applyAlignment="1" applyProtection="1">
      <alignment horizontal="center" vertical="center"/>
      <protection locked="0"/>
    </xf>
    <xf numFmtId="0" fontId="13" fillId="4" borderId="38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9" fillId="4" borderId="0" xfId="1" applyFont="1" applyFill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13" fillId="4" borderId="0" xfId="1" applyFont="1" applyFill="1" applyAlignment="1" applyProtection="1">
      <alignment vertical="center"/>
      <protection locked="0"/>
    </xf>
    <xf numFmtId="0" fontId="13" fillId="4" borderId="0" xfId="1" applyFont="1" applyFill="1" applyAlignment="1" applyProtection="1">
      <alignment horizontal="left" vertical="center"/>
      <protection locked="0"/>
    </xf>
    <xf numFmtId="0" fontId="13" fillId="4" borderId="0" xfId="1" applyFont="1" applyFill="1" applyAlignment="1" applyProtection="1">
      <alignment horizontal="right" vertical="center"/>
      <protection locked="0"/>
    </xf>
    <xf numFmtId="169" fontId="13" fillId="4" borderId="0" xfId="2" applyNumberFormat="1" applyFont="1" applyFill="1" applyBorder="1" applyAlignment="1" applyProtection="1">
      <alignment horizontal="center" vertical="center"/>
      <protection locked="0"/>
    </xf>
    <xf numFmtId="0" fontId="13" fillId="2" borderId="0" xfId="1" applyFont="1" applyFill="1" applyAlignment="1" applyProtection="1">
      <alignment vertical="center"/>
      <protection locked="0"/>
    </xf>
    <xf numFmtId="0" fontId="9" fillId="2" borderId="0" xfId="1" applyFont="1" applyFill="1" applyAlignment="1" applyProtection="1">
      <alignment vertical="center"/>
      <protection locked="0"/>
    </xf>
    <xf numFmtId="0" fontId="14" fillId="2" borderId="0" xfId="1" applyFont="1" applyFill="1" applyAlignment="1" applyProtection="1">
      <alignment horizontal="center" vertical="center"/>
      <protection locked="0"/>
    </xf>
    <xf numFmtId="0" fontId="9" fillId="2" borderId="0" xfId="1" applyFont="1" applyFill="1" applyAlignment="1" applyProtection="1">
      <alignment horizontal="center" vertical="center"/>
      <protection locked="0"/>
    </xf>
    <xf numFmtId="0" fontId="9" fillId="2" borderId="0" xfId="1" applyFont="1" applyFill="1" applyAlignment="1" applyProtection="1">
      <alignment horizontal="left" vertical="center"/>
      <protection locked="0"/>
    </xf>
    <xf numFmtId="0" fontId="14" fillId="4" borderId="0" xfId="1" applyFont="1" applyFill="1" applyAlignment="1" applyProtection="1">
      <alignment horizontal="center" vertical="center"/>
      <protection locked="0"/>
    </xf>
    <xf numFmtId="14" fontId="10" fillId="2" borderId="0" xfId="1" applyNumberFormat="1" applyFont="1" applyFill="1" applyAlignment="1" applyProtection="1">
      <alignment horizontal="center" vertical="center"/>
      <protection locked="0"/>
    </xf>
    <xf numFmtId="0" fontId="10" fillId="2" borderId="0" xfId="1" applyFont="1" applyFill="1" applyAlignment="1" applyProtection="1">
      <alignment horizontal="center" vertical="center"/>
      <protection locked="0"/>
    </xf>
    <xf numFmtId="0" fontId="15" fillId="4" borderId="0" xfId="1" applyFont="1" applyFill="1" applyAlignment="1" applyProtection="1">
      <alignment vertical="top" wrapText="1"/>
      <protection locked="0"/>
    </xf>
    <xf numFmtId="0" fontId="9" fillId="4" borderId="0" xfId="1" applyFont="1" applyFill="1" applyAlignment="1" applyProtection="1">
      <alignment horizontal="center" vertical="center"/>
      <protection locked="0"/>
    </xf>
    <xf numFmtId="168" fontId="13" fillId="4" borderId="0" xfId="2" applyNumberFormat="1" applyFont="1" applyFill="1" applyBorder="1" applyAlignment="1" applyProtection="1">
      <alignment vertic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0" fontId="10" fillId="4" borderId="0" xfId="0" applyFont="1" applyFill="1" applyAlignment="1" applyProtection="1">
      <alignment horizontal="center" vertical="center"/>
      <protection locked="0"/>
    </xf>
    <xf numFmtId="170" fontId="13" fillId="4" borderId="0" xfId="0" applyNumberFormat="1" applyFont="1" applyFill="1" applyAlignment="1" applyProtection="1">
      <alignment horizontal="right" vertical="center"/>
      <protection locked="0"/>
    </xf>
    <xf numFmtId="0" fontId="9" fillId="4" borderId="37" xfId="1" applyFont="1" applyFill="1" applyBorder="1" applyAlignment="1" applyProtection="1">
      <alignment vertical="center"/>
      <protection locked="0"/>
    </xf>
    <xf numFmtId="0" fontId="9" fillId="4" borderId="35" xfId="1" applyFont="1" applyFill="1" applyBorder="1" applyAlignment="1" applyProtection="1">
      <alignment vertical="center"/>
      <protection locked="0"/>
    </xf>
    <xf numFmtId="0" fontId="9" fillId="4" borderId="36" xfId="1" applyFont="1" applyFill="1" applyBorder="1" applyAlignment="1" applyProtection="1">
      <alignment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171" fontId="10" fillId="4" borderId="0" xfId="2" applyNumberFormat="1" applyFont="1" applyFill="1" applyBorder="1" applyAlignment="1" applyProtection="1">
      <alignment horizontal="center" vertical="center"/>
      <protection locked="0"/>
    </xf>
    <xf numFmtId="49" fontId="9" fillId="4" borderId="0" xfId="1" applyNumberFormat="1" applyFont="1" applyFill="1" applyAlignment="1" applyProtection="1">
      <alignment horizontal="center" vertical="center"/>
      <protection locked="0"/>
    </xf>
    <xf numFmtId="0" fontId="14" fillId="4" borderId="0" xfId="1" applyFont="1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8" fillId="4" borderId="0" xfId="1" applyFont="1" applyFill="1" applyAlignment="1" applyProtection="1">
      <alignment vertical="center"/>
      <protection locked="0"/>
    </xf>
    <xf numFmtId="0" fontId="13" fillId="4" borderId="0" xfId="1" applyFont="1" applyFill="1" applyAlignment="1">
      <alignment vertical="center"/>
    </xf>
    <xf numFmtId="166" fontId="6" fillId="4" borderId="0" xfId="7" applyFont="1" applyFill="1" applyProtection="1">
      <protection hidden="1"/>
    </xf>
    <xf numFmtId="0" fontId="0" fillId="4" borderId="0" xfId="0" applyFill="1"/>
    <xf numFmtId="0" fontId="11" fillId="2" borderId="0" xfId="1" applyFont="1" applyFill="1" applyAlignment="1" applyProtection="1">
      <alignment horizontal="center" vertical="center"/>
      <protection hidden="1"/>
    </xf>
    <xf numFmtId="0" fontId="11" fillId="2" borderId="48" xfId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horizontal="center" vertical="center" wrapText="1"/>
      <protection hidden="1"/>
    </xf>
    <xf numFmtId="0" fontId="11" fillId="2" borderId="48" xfId="1" applyFont="1" applyFill="1" applyBorder="1" applyAlignment="1" applyProtection="1">
      <alignment horizontal="center" vertical="center" wrapText="1"/>
      <protection hidden="1"/>
    </xf>
    <xf numFmtId="0" fontId="12" fillId="2" borderId="0" xfId="1" applyFont="1" applyFill="1" applyAlignment="1" applyProtection="1">
      <alignment horizontal="center" vertical="center" wrapText="1"/>
      <protection hidden="1"/>
    </xf>
    <xf numFmtId="0" fontId="12" fillId="2" borderId="48" xfId="1" applyFont="1" applyFill="1" applyBorder="1" applyAlignment="1" applyProtection="1">
      <alignment horizontal="center" vertical="center" wrapText="1"/>
      <protection hidden="1"/>
    </xf>
    <xf numFmtId="0" fontId="8" fillId="5" borderId="0" xfId="0" applyFont="1" applyFill="1" applyAlignment="1" applyProtection="1">
      <alignment horizontal="center" vertical="center"/>
      <protection hidden="1"/>
    </xf>
    <xf numFmtId="0" fontId="13" fillId="4" borderId="0" xfId="1" applyFont="1" applyFill="1" applyAlignment="1" applyProtection="1">
      <alignment vertical="center"/>
      <protection locked="0"/>
    </xf>
    <xf numFmtId="0" fontId="13" fillId="4" borderId="20" xfId="1" applyFont="1" applyFill="1" applyBorder="1" applyAlignment="1" applyProtection="1">
      <alignment vertical="center"/>
      <protection locked="0"/>
    </xf>
    <xf numFmtId="49" fontId="14" fillId="4" borderId="11" xfId="1" applyNumberFormat="1" applyFont="1" applyFill="1" applyBorder="1" applyAlignment="1" applyProtection="1">
      <alignment horizontal="left" vertical="top" wrapText="1"/>
      <protection locked="0"/>
    </xf>
    <xf numFmtId="49" fontId="14" fillId="4" borderId="12" xfId="1" applyNumberFormat="1" applyFont="1" applyFill="1" applyBorder="1" applyAlignment="1" applyProtection="1">
      <alignment horizontal="left" vertical="top" wrapText="1"/>
      <protection locked="0"/>
    </xf>
    <xf numFmtId="49" fontId="14" fillId="4" borderId="13" xfId="1" applyNumberFormat="1" applyFont="1" applyFill="1" applyBorder="1" applyAlignment="1" applyProtection="1">
      <alignment horizontal="left" vertical="top" wrapText="1"/>
      <protection locked="0"/>
    </xf>
    <xf numFmtId="0" fontId="13" fillId="4" borderId="0" xfId="1" applyFont="1" applyFill="1" applyAlignment="1" applyProtection="1">
      <alignment horizontal="left" vertical="center"/>
      <protection locked="0"/>
    </xf>
    <xf numFmtId="49" fontId="9" fillId="4" borderId="15" xfId="1" applyNumberFormat="1" applyFont="1" applyFill="1" applyBorder="1" applyAlignment="1" applyProtection="1">
      <alignment horizontal="left" vertical="top" wrapText="1"/>
      <protection locked="0"/>
    </xf>
    <xf numFmtId="49" fontId="6" fillId="4" borderId="16" xfId="0" applyNumberFormat="1" applyFont="1" applyFill="1" applyBorder="1" applyAlignment="1" applyProtection="1">
      <alignment horizontal="left" vertical="top"/>
      <protection locked="0"/>
    </xf>
    <xf numFmtId="49" fontId="6" fillId="4" borderId="17" xfId="0" applyNumberFormat="1" applyFont="1" applyFill="1" applyBorder="1" applyAlignment="1" applyProtection="1">
      <alignment horizontal="left" vertical="top"/>
      <protection locked="0"/>
    </xf>
    <xf numFmtId="49" fontId="6" fillId="4" borderId="14" xfId="0" applyNumberFormat="1" applyFont="1" applyFill="1" applyBorder="1" applyAlignment="1" applyProtection="1">
      <alignment horizontal="left" vertical="top"/>
      <protection locked="0"/>
    </xf>
    <xf numFmtId="49" fontId="6" fillId="4" borderId="0" xfId="0" applyNumberFormat="1" applyFont="1" applyFill="1" applyAlignment="1" applyProtection="1">
      <alignment horizontal="left" vertical="top"/>
      <protection locked="0"/>
    </xf>
    <xf numFmtId="49" fontId="6" fillId="4" borderId="20" xfId="0" applyNumberFormat="1" applyFont="1" applyFill="1" applyBorder="1" applyAlignment="1" applyProtection="1">
      <alignment horizontal="left" vertical="top"/>
      <protection locked="0"/>
    </xf>
    <xf numFmtId="49" fontId="6" fillId="4" borderId="18" xfId="0" applyNumberFormat="1" applyFont="1" applyFill="1" applyBorder="1" applyAlignment="1" applyProtection="1">
      <alignment horizontal="left" vertical="top"/>
      <protection locked="0"/>
    </xf>
    <xf numFmtId="49" fontId="6" fillId="4" borderId="9" xfId="0" applyNumberFormat="1" applyFont="1" applyFill="1" applyBorder="1" applyAlignment="1" applyProtection="1">
      <alignment horizontal="left" vertical="top"/>
      <protection locked="0"/>
    </xf>
    <xf numFmtId="49" fontId="6" fillId="4" borderId="19" xfId="0" applyNumberFormat="1" applyFont="1" applyFill="1" applyBorder="1" applyAlignment="1" applyProtection="1">
      <alignment horizontal="left" vertical="top"/>
      <protection locked="0"/>
    </xf>
    <xf numFmtId="0" fontId="13" fillId="4" borderId="15" xfId="1" applyFont="1" applyFill="1" applyBorder="1" applyAlignment="1" applyProtection="1">
      <alignment horizontal="center" vertical="top" wrapText="1"/>
      <protection locked="0"/>
    </xf>
    <xf numFmtId="0" fontId="13" fillId="4" borderId="16" xfId="1" applyFont="1" applyFill="1" applyBorder="1" applyAlignment="1" applyProtection="1">
      <alignment horizontal="center" vertical="top" wrapText="1"/>
      <protection locked="0"/>
    </xf>
    <xf numFmtId="0" fontId="13" fillId="4" borderId="17" xfId="1" applyFont="1" applyFill="1" applyBorder="1" applyAlignment="1" applyProtection="1">
      <alignment horizontal="center" vertical="top" wrapText="1"/>
      <protection locked="0"/>
    </xf>
    <xf numFmtId="0" fontId="13" fillId="4" borderId="18" xfId="1" applyFont="1" applyFill="1" applyBorder="1" applyAlignment="1" applyProtection="1">
      <alignment horizontal="center" vertical="top" wrapText="1"/>
      <protection locked="0"/>
    </xf>
    <xf numFmtId="0" fontId="13" fillId="4" borderId="9" xfId="1" applyFont="1" applyFill="1" applyBorder="1" applyAlignment="1" applyProtection="1">
      <alignment horizontal="center" vertical="top" wrapText="1"/>
      <protection locked="0"/>
    </xf>
    <xf numFmtId="0" fontId="13" fillId="4" borderId="19" xfId="1" applyFont="1" applyFill="1" applyBorder="1" applyAlignment="1" applyProtection="1">
      <alignment horizontal="center" vertical="top" wrapText="1"/>
      <protection locked="0"/>
    </xf>
    <xf numFmtId="0" fontId="13" fillId="4" borderId="11" xfId="1" applyFont="1" applyFill="1" applyBorder="1" applyAlignment="1" applyProtection="1">
      <alignment horizontal="center" vertical="center" wrapText="1"/>
      <protection locked="0"/>
    </xf>
    <xf numFmtId="0" fontId="13" fillId="4" borderId="12" xfId="1" applyFont="1" applyFill="1" applyBorder="1" applyAlignment="1" applyProtection="1">
      <alignment horizontal="center" vertical="center" wrapText="1"/>
      <protection locked="0"/>
    </xf>
    <xf numFmtId="0" fontId="13" fillId="4" borderId="13" xfId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left"/>
    </xf>
    <xf numFmtId="0" fontId="28" fillId="0" borderId="9" xfId="0" applyFont="1" applyBorder="1" applyAlignment="1">
      <alignment horizontal="center"/>
    </xf>
    <xf numFmtId="49" fontId="10" fillId="4" borderId="11" xfId="1" applyNumberFormat="1" applyFont="1" applyFill="1" applyBorder="1" applyAlignment="1" applyProtection="1">
      <alignment horizontal="left" vertical="top" wrapText="1"/>
      <protection locked="0"/>
    </xf>
    <xf numFmtId="49" fontId="10" fillId="4" borderId="12" xfId="1" applyNumberFormat="1" applyFont="1" applyFill="1" applyBorder="1" applyAlignment="1" applyProtection="1">
      <alignment horizontal="left" vertical="top" wrapText="1"/>
      <protection locked="0"/>
    </xf>
    <xf numFmtId="49" fontId="10" fillId="4" borderId="13" xfId="1" applyNumberFormat="1" applyFont="1" applyFill="1" applyBorder="1" applyAlignment="1" applyProtection="1">
      <alignment horizontal="left" vertical="top" wrapText="1"/>
      <protection locked="0"/>
    </xf>
    <xf numFmtId="49" fontId="13" fillId="4" borderId="11" xfId="1" applyNumberFormat="1" applyFont="1" applyFill="1" applyBorder="1" applyAlignment="1" applyProtection="1">
      <alignment horizontal="center" vertical="center"/>
      <protection locked="0"/>
    </xf>
    <xf numFmtId="49" fontId="13" fillId="4" borderId="13" xfId="1" applyNumberFormat="1" applyFont="1" applyFill="1" applyBorder="1" applyAlignment="1" applyProtection="1">
      <alignment horizontal="center" vertical="center"/>
      <protection locked="0"/>
    </xf>
    <xf numFmtId="0" fontId="13" fillId="4" borderId="14" xfId="1" applyFont="1" applyFill="1" applyBorder="1" applyAlignment="1" applyProtection="1">
      <alignment horizontal="center" vertical="center"/>
      <protection locked="0"/>
    </xf>
    <xf numFmtId="0" fontId="13" fillId="4" borderId="0" xfId="1" applyFont="1" applyFill="1" applyAlignment="1" applyProtection="1">
      <alignment horizontal="center" vertical="center"/>
      <protection locked="0"/>
    </xf>
    <xf numFmtId="0" fontId="13" fillId="4" borderId="11" xfId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  <protection locked="0"/>
    </xf>
    <xf numFmtId="0" fontId="13" fillId="4" borderId="13" xfId="1" applyFont="1" applyFill="1" applyBorder="1" applyAlignment="1" applyProtection="1">
      <alignment horizontal="center" vertical="center"/>
      <protection locked="0"/>
    </xf>
    <xf numFmtId="169" fontId="13" fillId="4" borderId="11" xfId="4" applyNumberFormat="1" applyFont="1" applyFill="1" applyBorder="1" applyAlignment="1" applyProtection="1">
      <alignment horizontal="center" vertical="center"/>
      <protection locked="0"/>
    </xf>
    <xf numFmtId="169" fontId="13" fillId="4" borderId="13" xfId="4" applyNumberFormat="1" applyFont="1" applyFill="1" applyBorder="1" applyAlignment="1" applyProtection="1">
      <alignment horizontal="center" vertical="center"/>
      <protection locked="0"/>
    </xf>
    <xf numFmtId="169" fontId="13" fillId="4" borderId="11" xfId="2" applyNumberFormat="1" applyFont="1" applyFill="1" applyBorder="1" applyAlignment="1" applyProtection="1">
      <alignment horizontal="right" vertical="center"/>
      <protection locked="0"/>
    </xf>
    <xf numFmtId="169" fontId="13" fillId="4" borderId="12" xfId="2" applyNumberFormat="1" applyFont="1" applyFill="1" applyBorder="1" applyAlignment="1" applyProtection="1">
      <alignment horizontal="right" vertical="center"/>
      <protection locked="0"/>
    </xf>
    <xf numFmtId="169" fontId="13" fillId="4" borderId="13" xfId="2" applyNumberFormat="1" applyFont="1" applyFill="1" applyBorder="1" applyAlignment="1" applyProtection="1">
      <alignment horizontal="right" vertical="center"/>
      <protection locked="0"/>
    </xf>
    <xf numFmtId="0" fontId="6" fillId="0" borderId="9" xfId="0" applyFont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6" fillId="4" borderId="12" xfId="0" applyFont="1" applyFill="1" applyBorder="1" applyAlignment="1" applyProtection="1">
      <alignment horizontal="center"/>
      <protection locked="0"/>
    </xf>
    <xf numFmtId="0" fontId="13" fillId="2" borderId="0" xfId="1" applyFont="1" applyFill="1" applyAlignment="1" applyProtection="1">
      <alignment horizontal="left" vertical="center"/>
      <protection locked="0"/>
    </xf>
    <xf numFmtId="0" fontId="13" fillId="2" borderId="20" xfId="1" applyFont="1" applyFill="1" applyBorder="1" applyAlignment="1" applyProtection="1">
      <alignment horizontal="left" vertical="center"/>
      <protection locked="0"/>
    </xf>
    <xf numFmtId="49" fontId="13" fillId="2" borderId="11" xfId="1" applyNumberFormat="1" applyFont="1" applyFill="1" applyBorder="1" applyAlignment="1" applyProtection="1">
      <alignment horizontal="right" vertical="center"/>
      <protection locked="0"/>
    </xf>
    <xf numFmtId="49" fontId="13" fillId="2" borderId="12" xfId="1" applyNumberFormat="1" applyFont="1" applyFill="1" applyBorder="1" applyAlignment="1" applyProtection="1">
      <alignment horizontal="right" vertical="center"/>
      <protection locked="0"/>
    </xf>
    <xf numFmtId="49" fontId="13" fillId="2" borderId="13" xfId="1" applyNumberFormat="1" applyFont="1" applyFill="1" applyBorder="1" applyAlignment="1" applyProtection="1">
      <alignment horizontal="right" vertical="center"/>
      <protection locked="0"/>
    </xf>
    <xf numFmtId="0" fontId="13" fillId="0" borderId="14" xfId="1" applyFont="1" applyBorder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3" fillId="2" borderId="11" xfId="1" applyFont="1" applyFill="1" applyBorder="1" applyAlignment="1" applyProtection="1">
      <alignment horizontal="right" vertical="center" wrapText="1"/>
      <protection locked="0"/>
    </xf>
    <xf numFmtId="0" fontId="13" fillId="2" borderId="12" xfId="1" applyFont="1" applyFill="1" applyBorder="1" applyAlignment="1" applyProtection="1">
      <alignment horizontal="right" vertical="center" wrapText="1"/>
      <protection locked="0"/>
    </xf>
    <xf numFmtId="0" fontId="13" fillId="2" borderId="13" xfId="1" applyFont="1" applyFill="1" applyBorder="1" applyAlignment="1" applyProtection="1">
      <alignment horizontal="right" vertical="center" wrapText="1"/>
      <protection locked="0"/>
    </xf>
    <xf numFmtId="0" fontId="13" fillId="0" borderId="20" xfId="1" applyFont="1" applyBorder="1" applyAlignment="1" applyProtection="1">
      <alignment horizontal="center" vertical="center"/>
      <protection locked="0"/>
    </xf>
    <xf numFmtId="0" fontId="10" fillId="2" borderId="0" xfId="1" applyFont="1" applyFill="1" applyAlignment="1" applyProtection="1">
      <alignment horizontal="center" vertical="center"/>
      <protection locked="0"/>
    </xf>
    <xf numFmtId="170" fontId="13" fillId="2" borderId="11" xfId="1" applyNumberFormat="1" applyFont="1" applyFill="1" applyBorder="1" applyAlignment="1" applyProtection="1">
      <alignment horizontal="right" vertical="center"/>
      <protection locked="0"/>
    </xf>
    <xf numFmtId="170" fontId="13" fillId="2" borderId="12" xfId="1" applyNumberFormat="1" applyFont="1" applyFill="1" applyBorder="1" applyAlignment="1" applyProtection="1">
      <alignment horizontal="right" vertical="center"/>
      <protection locked="0"/>
    </xf>
    <xf numFmtId="170" fontId="13" fillId="2" borderId="13" xfId="1" applyNumberFormat="1" applyFont="1" applyFill="1" applyBorder="1" applyAlignment="1" applyProtection="1">
      <alignment horizontal="right" vertical="center"/>
      <protection locked="0"/>
    </xf>
    <xf numFmtId="0" fontId="10" fillId="4" borderId="21" xfId="1" applyFont="1" applyFill="1" applyBorder="1" applyAlignment="1" applyProtection="1">
      <alignment horizontal="left" vertical="center" wrapText="1"/>
      <protection locked="0"/>
    </xf>
    <xf numFmtId="0" fontId="10" fillId="4" borderId="22" xfId="1" applyFont="1" applyFill="1" applyBorder="1" applyAlignment="1" applyProtection="1">
      <alignment horizontal="left" vertical="center" wrapText="1"/>
      <protection locked="0"/>
    </xf>
    <xf numFmtId="165" fontId="10" fillId="4" borderId="22" xfId="2" applyNumberFormat="1" applyFont="1" applyFill="1" applyBorder="1" applyAlignment="1" applyProtection="1">
      <alignment horizontal="center" vertical="center"/>
      <protection locked="0"/>
    </xf>
    <xf numFmtId="165" fontId="10" fillId="4" borderId="23" xfId="2" applyNumberFormat="1" applyFont="1" applyFill="1" applyBorder="1" applyAlignment="1" applyProtection="1">
      <alignment horizontal="center" vertical="center"/>
      <protection locked="0"/>
    </xf>
    <xf numFmtId="0" fontId="10" fillId="4" borderId="21" xfId="1" applyFont="1" applyFill="1" applyBorder="1" applyAlignment="1" applyProtection="1">
      <alignment horizontal="left" vertical="center"/>
      <protection locked="0"/>
    </xf>
    <xf numFmtId="0" fontId="10" fillId="4" borderId="22" xfId="1" applyFont="1" applyFill="1" applyBorder="1" applyAlignment="1" applyProtection="1">
      <alignment horizontal="left" vertical="center"/>
      <protection locked="0"/>
    </xf>
    <xf numFmtId="0" fontId="13" fillId="2" borderId="11" xfId="1" applyFont="1" applyFill="1" applyBorder="1" applyAlignment="1" applyProtection="1">
      <alignment horizontal="center" vertical="center"/>
      <protection locked="0"/>
    </xf>
    <xf numFmtId="0" fontId="13" fillId="2" borderId="12" xfId="1" applyFont="1" applyFill="1" applyBorder="1" applyAlignment="1" applyProtection="1">
      <alignment horizontal="center" vertical="center"/>
      <protection locked="0"/>
    </xf>
    <xf numFmtId="0" fontId="13" fillId="2" borderId="13" xfId="1" applyFont="1" applyFill="1" applyBorder="1" applyAlignment="1" applyProtection="1">
      <alignment horizontal="center" vertical="center"/>
      <protection locked="0"/>
    </xf>
    <xf numFmtId="0" fontId="13" fillId="4" borderId="20" xfId="1" applyFont="1" applyFill="1" applyBorder="1" applyAlignment="1" applyProtection="1">
      <alignment horizontal="left" vertical="center"/>
      <protection locked="0"/>
    </xf>
    <xf numFmtId="0" fontId="9" fillId="4" borderId="11" xfId="1" applyFont="1" applyFill="1" applyBorder="1" applyAlignment="1" applyProtection="1">
      <alignment horizontal="center" vertical="center"/>
      <protection locked="0"/>
    </xf>
    <xf numFmtId="0" fontId="9" fillId="4" borderId="13" xfId="1" applyFont="1" applyFill="1" applyBorder="1" applyAlignment="1" applyProtection="1">
      <alignment horizontal="center" vertical="center"/>
      <protection locked="0"/>
    </xf>
    <xf numFmtId="0" fontId="13" fillId="4" borderId="24" xfId="1" applyFont="1" applyFill="1" applyBorder="1" applyAlignment="1" applyProtection="1">
      <alignment horizontal="left" vertical="center"/>
      <protection locked="0"/>
    </xf>
    <xf numFmtId="0" fontId="13" fillId="4" borderId="25" xfId="1" applyFont="1" applyFill="1" applyBorder="1" applyAlignment="1" applyProtection="1">
      <alignment horizontal="left" vertical="center"/>
      <protection locked="0"/>
    </xf>
    <xf numFmtId="168" fontId="13" fillId="4" borderId="25" xfId="2" applyNumberFormat="1" applyFont="1" applyFill="1" applyBorder="1" applyAlignment="1" applyProtection="1">
      <alignment horizontal="center" vertical="center"/>
      <protection locked="0"/>
    </xf>
    <xf numFmtId="168" fontId="13" fillId="4" borderId="26" xfId="2" applyNumberFormat="1" applyFont="1" applyFill="1" applyBorder="1" applyAlignment="1" applyProtection="1">
      <alignment horizontal="center" vertical="center"/>
      <protection locked="0"/>
    </xf>
    <xf numFmtId="0" fontId="13" fillId="4" borderId="37" xfId="1" applyFont="1" applyFill="1" applyBorder="1" applyAlignment="1" applyProtection="1">
      <alignment vertical="center"/>
      <protection locked="0"/>
    </xf>
    <xf numFmtId="0" fontId="13" fillId="4" borderId="35" xfId="1" applyFont="1" applyFill="1" applyBorder="1" applyAlignment="1" applyProtection="1">
      <alignment vertical="center"/>
      <protection locked="0"/>
    </xf>
    <xf numFmtId="0" fontId="13" fillId="4" borderId="38" xfId="1" applyFont="1" applyFill="1" applyBorder="1" applyAlignment="1" applyProtection="1">
      <alignment vertical="center"/>
      <protection locked="0"/>
    </xf>
    <xf numFmtId="0" fontId="10" fillId="4" borderId="27" xfId="1" applyFont="1" applyFill="1" applyBorder="1" applyAlignment="1" applyProtection="1">
      <alignment horizontal="left" vertical="center"/>
      <protection locked="0"/>
    </xf>
    <xf numFmtId="0" fontId="10" fillId="4" borderId="28" xfId="1" applyFont="1" applyFill="1" applyBorder="1" applyAlignment="1" applyProtection="1">
      <alignment horizontal="left" vertical="center"/>
      <protection locked="0"/>
    </xf>
    <xf numFmtId="165" fontId="10" fillId="4" borderId="41" xfId="2" applyNumberFormat="1" applyFont="1" applyFill="1" applyBorder="1" applyAlignment="1" applyProtection="1">
      <alignment horizontal="center" vertical="center"/>
      <protection locked="0"/>
    </xf>
    <xf numFmtId="165" fontId="10" fillId="4" borderId="42" xfId="2" applyNumberFormat="1" applyFont="1" applyFill="1" applyBorder="1" applyAlignment="1" applyProtection="1">
      <alignment horizontal="center" vertical="center"/>
      <protection locked="0"/>
    </xf>
    <xf numFmtId="165" fontId="10" fillId="4" borderId="43" xfId="2" applyNumberFormat="1" applyFont="1" applyFill="1" applyBorder="1" applyAlignment="1" applyProtection="1">
      <alignment horizontal="center" vertical="center"/>
      <protection locked="0"/>
    </xf>
    <xf numFmtId="168" fontId="10" fillId="4" borderId="28" xfId="2" applyNumberFormat="1" applyFont="1" applyFill="1" applyBorder="1" applyAlignment="1" applyProtection="1">
      <alignment vertical="center"/>
      <protection locked="0"/>
    </xf>
    <xf numFmtId="168" fontId="10" fillId="4" borderId="29" xfId="2" applyNumberFormat="1" applyFont="1" applyFill="1" applyBorder="1" applyAlignment="1" applyProtection="1">
      <alignment vertical="center"/>
      <protection locked="0"/>
    </xf>
    <xf numFmtId="168" fontId="10" fillId="4" borderId="22" xfId="2" applyNumberFormat="1" applyFont="1" applyFill="1" applyBorder="1" applyAlignment="1" applyProtection="1">
      <alignment horizontal="center" vertical="center"/>
      <protection locked="0"/>
    </xf>
    <xf numFmtId="168" fontId="10" fillId="4" borderId="23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0" fontId="6" fillId="4" borderId="21" xfId="0" applyFont="1" applyFill="1" applyBorder="1" applyAlignment="1" applyProtection="1">
      <alignment horizontal="center"/>
      <protection locked="0"/>
    </xf>
    <xf numFmtId="0" fontId="6" fillId="4" borderId="24" xfId="0" applyFont="1" applyFill="1" applyBorder="1" applyAlignment="1" applyProtection="1">
      <alignment horizontal="center"/>
      <protection locked="0"/>
    </xf>
    <xf numFmtId="0" fontId="6" fillId="4" borderId="27" xfId="0" applyFont="1" applyFill="1" applyBorder="1" applyAlignment="1" applyProtection="1">
      <alignment horizontal="center"/>
      <protection locked="0"/>
    </xf>
    <xf numFmtId="0" fontId="10" fillId="4" borderId="22" xfId="0" applyFont="1" applyFill="1" applyBorder="1" applyAlignment="1" applyProtection="1">
      <alignment horizontal="center" vertical="center" wrapText="1"/>
      <protection locked="0"/>
    </xf>
    <xf numFmtId="0" fontId="13" fillId="4" borderId="22" xfId="0" applyFont="1" applyFill="1" applyBorder="1" applyAlignment="1" applyProtection="1">
      <alignment horizontal="center"/>
      <protection locked="0"/>
    </xf>
    <xf numFmtId="0" fontId="13" fillId="4" borderId="25" xfId="0" applyFont="1" applyFill="1" applyBorder="1" applyAlignment="1" applyProtection="1">
      <alignment horizontal="center"/>
      <protection locked="0"/>
    </xf>
    <xf numFmtId="0" fontId="13" fillId="4" borderId="28" xfId="0" applyFont="1" applyFill="1" applyBorder="1" applyAlignment="1" applyProtection="1">
      <alignment horizontal="center"/>
      <protection locked="0"/>
    </xf>
    <xf numFmtId="0" fontId="10" fillId="4" borderId="22" xfId="0" applyFont="1" applyFill="1" applyBorder="1" applyAlignment="1" applyProtection="1">
      <alignment horizontal="center" vertical="center"/>
      <protection locked="0"/>
    </xf>
    <xf numFmtId="0" fontId="10" fillId="4" borderId="25" xfId="0" applyFont="1" applyFill="1" applyBorder="1" applyAlignment="1" applyProtection="1">
      <alignment horizontal="center" vertical="center"/>
      <protection locked="0"/>
    </xf>
    <xf numFmtId="0" fontId="10" fillId="4" borderId="28" xfId="0" applyFont="1" applyFill="1" applyBorder="1" applyAlignment="1" applyProtection="1">
      <alignment horizontal="center" vertical="center"/>
      <protection locked="0"/>
    </xf>
    <xf numFmtId="173" fontId="13" fillId="4" borderId="34" xfId="7" applyNumberFormat="1" applyFont="1" applyFill="1" applyBorder="1" applyAlignment="1" applyProtection="1">
      <alignment horizontal="center" vertical="center"/>
      <protection locked="0"/>
    </xf>
    <xf numFmtId="173" fontId="13" fillId="4" borderId="35" xfId="7" applyNumberFormat="1" applyFont="1" applyFill="1" applyBorder="1" applyAlignment="1" applyProtection="1">
      <alignment horizontal="center" vertical="center"/>
      <protection locked="0"/>
    </xf>
    <xf numFmtId="173" fontId="13" fillId="4" borderId="38" xfId="7" applyNumberFormat="1" applyFont="1" applyFill="1" applyBorder="1" applyAlignment="1" applyProtection="1">
      <alignment horizontal="center" vertical="center"/>
      <protection locked="0"/>
    </xf>
    <xf numFmtId="0" fontId="27" fillId="4" borderId="22" xfId="0" applyFont="1" applyFill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49" fontId="13" fillId="4" borderId="25" xfId="0" applyNumberFormat="1" applyFont="1" applyFill="1" applyBorder="1" applyAlignment="1" applyProtection="1">
      <alignment horizontal="center"/>
      <protection locked="0"/>
    </xf>
    <xf numFmtId="49" fontId="13" fillId="4" borderId="25" xfId="0" applyNumberFormat="1" applyFont="1" applyFill="1" applyBorder="1" applyAlignment="1" applyProtection="1">
      <alignment horizontal="center" vertical="center" wrapText="1"/>
      <protection locked="0"/>
    </xf>
    <xf numFmtId="14" fontId="13" fillId="4" borderId="34" xfId="0" applyNumberFormat="1" applyFont="1" applyFill="1" applyBorder="1" applyAlignment="1" applyProtection="1">
      <alignment horizontal="center" vertical="center"/>
      <protection locked="0"/>
    </xf>
    <xf numFmtId="0" fontId="13" fillId="4" borderId="35" xfId="0" applyFont="1" applyFill="1" applyBorder="1" applyAlignment="1" applyProtection="1">
      <alignment horizontal="center" vertical="center"/>
      <protection locked="0"/>
    </xf>
    <xf numFmtId="0" fontId="13" fillId="4" borderId="38" xfId="0" applyFont="1" applyFill="1" applyBorder="1" applyAlignment="1" applyProtection="1">
      <alignment horizontal="center" vertical="center"/>
      <protection locked="0"/>
    </xf>
    <xf numFmtId="49" fontId="13" fillId="4" borderId="25" xfId="0" applyNumberFormat="1" applyFont="1" applyFill="1" applyBorder="1" applyAlignment="1" applyProtection="1">
      <alignment horizontal="center" vertical="center"/>
      <protection locked="0"/>
    </xf>
    <xf numFmtId="173" fontId="13" fillId="4" borderId="25" xfId="7" applyNumberFormat="1" applyFont="1" applyFill="1" applyBorder="1" applyAlignment="1" applyProtection="1">
      <alignment horizontal="center" vertical="center"/>
      <protection locked="0"/>
    </xf>
    <xf numFmtId="0" fontId="13" fillId="4" borderId="34" xfId="0" applyFont="1" applyFill="1" applyBorder="1" applyAlignment="1" applyProtection="1">
      <alignment horizontal="center"/>
      <protection locked="0"/>
    </xf>
    <xf numFmtId="0" fontId="13" fillId="4" borderId="35" xfId="0" applyFont="1" applyFill="1" applyBorder="1" applyAlignment="1" applyProtection="1">
      <alignment horizontal="center"/>
      <protection locked="0"/>
    </xf>
    <xf numFmtId="0" fontId="13" fillId="4" borderId="38" xfId="0" applyFont="1" applyFill="1" applyBorder="1" applyAlignment="1" applyProtection="1">
      <alignment horizontal="center"/>
      <protection locked="0"/>
    </xf>
    <xf numFmtId="49" fontId="13" fillId="4" borderId="34" xfId="0" applyNumberFormat="1" applyFont="1" applyFill="1" applyBorder="1" applyAlignment="1" applyProtection="1">
      <alignment horizontal="center" vertical="center" wrapText="1"/>
      <protection locked="0"/>
    </xf>
    <xf numFmtId="49" fontId="13" fillId="4" borderId="35" xfId="0" applyNumberFormat="1" applyFont="1" applyFill="1" applyBorder="1" applyAlignment="1" applyProtection="1">
      <alignment horizontal="center" vertical="center" wrapText="1"/>
      <protection locked="0"/>
    </xf>
    <xf numFmtId="49" fontId="13" fillId="4" borderId="38" xfId="0" applyNumberFormat="1" applyFont="1" applyFill="1" applyBorder="1" applyAlignment="1" applyProtection="1">
      <alignment horizontal="center" vertical="center" wrapText="1"/>
      <protection locked="0"/>
    </xf>
    <xf numFmtId="0" fontId="13" fillId="4" borderId="25" xfId="0" applyFont="1" applyFill="1" applyBorder="1" applyAlignment="1" applyProtection="1">
      <alignment horizontal="center" vertical="center"/>
      <protection locked="0"/>
    </xf>
    <xf numFmtId="0" fontId="13" fillId="4" borderId="28" xfId="0" applyFont="1" applyFill="1" applyBorder="1" applyAlignment="1" applyProtection="1">
      <alignment horizontal="center" vertical="center" wrapText="1"/>
      <protection locked="0"/>
    </xf>
    <xf numFmtId="0" fontId="13" fillId="4" borderId="41" xfId="0" applyFont="1" applyFill="1" applyBorder="1" applyAlignment="1" applyProtection="1">
      <alignment horizontal="center" vertical="center"/>
      <protection locked="0"/>
    </xf>
    <xf numFmtId="0" fontId="13" fillId="4" borderId="42" xfId="0" applyFont="1" applyFill="1" applyBorder="1" applyAlignment="1" applyProtection="1">
      <alignment horizontal="center" vertical="center"/>
      <protection locked="0"/>
    </xf>
    <xf numFmtId="0" fontId="13" fillId="4" borderId="40" xfId="0" applyFont="1" applyFill="1" applyBorder="1" applyAlignment="1" applyProtection="1">
      <alignment horizontal="center" vertical="center"/>
      <protection locked="0"/>
    </xf>
    <xf numFmtId="0" fontId="13" fillId="4" borderId="28" xfId="0" applyFont="1" applyFill="1" applyBorder="1" applyAlignment="1" applyProtection="1">
      <alignment horizontal="center" vertical="center"/>
      <protection locked="0"/>
    </xf>
    <xf numFmtId="173" fontId="13" fillId="4" borderId="28" xfId="7" applyNumberFormat="1" applyFont="1" applyFill="1" applyBorder="1" applyAlignment="1" applyProtection="1">
      <alignment horizontal="center" vertical="center"/>
      <protection locked="0"/>
    </xf>
    <xf numFmtId="0" fontId="9" fillId="4" borderId="32" xfId="1" applyFont="1" applyFill="1" applyBorder="1" applyAlignment="1" applyProtection="1">
      <alignment horizontal="center" vertical="center"/>
      <protection locked="0"/>
    </xf>
    <xf numFmtId="0" fontId="9" fillId="4" borderId="33" xfId="1" applyFont="1" applyFill="1" applyBorder="1" applyAlignment="1" applyProtection="1">
      <alignment horizontal="center" vertical="center"/>
      <protection locked="0"/>
    </xf>
    <xf numFmtId="168" fontId="9" fillId="4" borderId="22" xfId="2" applyNumberFormat="1" applyFont="1" applyFill="1" applyBorder="1" applyAlignment="1" applyProtection="1">
      <alignment horizontal="right" vertical="center"/>
      <protection locked="0"/>
    </xf>
    <xf numFmtId="0" fontId="9" fillId="4" borderId="4" xfId="1" applyFont="1" applyFill="1" applyBorder="1" applyAlignment="1" applyProtection="1">
      <alignment horizontal="center" vertical="center"/>
      <protection locked="0"/>
    </xf>
    <xf numFmtId="0" fontId="9" fillId="4" borderId="0" xfId="1" applyFont="1" applyFill="1" applyAlignment="1" applyProtection="1">
      <alignment horizontal="center" vertical="center"/>
      <protection locked="0"/>
    </xf>
    <xf numFmtId="0" fontId="9" fillId="4" borderId="7" xfId="1" applyFont="1" applyFill="1" applyBorder="1" applyAlignment="1" applyProtection="1">
      <alignment horizontal="center" vertical="center"/>
      <protection locked="0"/>
    </xf>
    <xf numFmtId="0" fontId="9" fillId="4" borderId="30" xfId="1" applyFont="1" applyFill="1" applyBorder="1" applyAlignment="1" applyProtection="1">
      <alignment horizontal="center" vertical="center"/>
      <protection locked="0"/>
    </xf>
    <xf numFmtId="0" fontId="9" fillId="4" borderId="31" xfId="1" applyFont="1" applyFill="1" applyBorder="1" applyAlignment="1" applyProtection="1">
      <alignment horizontal="center" vertical="center"/>
      <protection locked="0"/>
    </xf>
    <xf numFmtId="49" fontId="9" fillId="4" borderId="4" xfId="1" applyNumberFormat="1" applyFont="1" applyFill="1" applyBorder="1" applyAlignment="1" applyProtection="1">
      <alignment horizontal="center" vertical="center"/>
      <protection locked="0"/>
    </xf>
    <xf numFmtId="49" fontId="9" fillId="4" borderId="0" xfId="1" applyNumberFormat="1" applyFont="1" applyFill="1" applyAlignment="1" applyProtection="1">
      <alignment horizontal="center" vertical="center"/>
      <protection locked="0"/>
    </xf>
    <xf numFmtId="49" fontId="9" fillId="4" borderId="7" xfId="1" applyNumberFormat="1" applyFont="1" applyFill="1" applyBorder="1" applyAlignment="1" applyProtection="1">
      <alignment horizontal="center" vertical="center"/>
      <protection locked="0"/>
    </xf>
    <xf numFmtId="0" fontId="9" fillId="4" borderId="22" xfId="1" applyFont="1" applyFill="1" applyBorder="1" applyAlignment="1" applyProtection="1">
      <alignment horizontal="center" vertical="center" wrapText="1"/>
      <protection locked="0"/>
    </xf>
    <xf numFmtId="0" fontId="13" fillId="4" borderId="22" xfId="2" applyNumberFormat="1" applyFont="1" applyFill="1" applyBorder="1" applyAlignment="1" applyProtection="1">
      <alignment horizontal="right" vertical="center"/>
      <protection locked="0"/>
    </xf>
    <xf numFmtId="0" fontId="13" fillId="4" borderId="23" xfId="2" applyNumberFormat="1" applyFont="1" applyFill="1" applyBorder="1" applyAlignment="1" applyProtection="1">
      <alignment horizontal="right" vertical="center"/>
      <protection locked="0"/>
    </xf>
    <xf numFmtId="0" fontId="9" fillId="4" borderId="37" xfId="1" applyFont="1" applyFill="1" applyBorder="1" applyAlignment="1" applyProtection="1">
      <alignment horizontal="center" vertical="center"/>
      <protection locked="0"/>
    </xf>
    <xf numFmtId="0" fontId="9" fillId="4" borderId="38" xfId="1" applyFont="1" applyFill="1" applyBorder="1" applyAlignment="1" applyProtection="1">
      <alignment horizontal="center" vertical="center"/>
      <protection locked="0"/>
    </xf>
    <xf numFmtId="168" fontId="9" fillId="4" borderId="25" xfId="2" applyNumberFormat="1" applyFont="1" applyFill="1" applyBorder="1" applyAlignment="1" applyProtection="1">
      <alignment horizontal="right" vertical="center"/>
      <protection locked="0"/>
    </xf>
    <xf numFmtId="0" fontId="9" fillId="4" borderId="34" xfId="1" applyFont="1" applyFill="1" applyBorder="1" applyAlignment="1" applyProtection="1">
      <alignment horizontal="center" vertical="center"/>
      <protection locked="0"/>
    </xf>
    <xf numFmtId="0" fontId="9" fillId="4" borderId="35" xfId="1" applyFont="1" applyFill="1" applyBorder="1" applyAlignment="1" applyProtection="1">
      <alignment horizontal="center" vertical="center"/>
      <protection locked="0"/>
    </xf>
    <xf numFmtId="0" fontId="9" fillId="4" borderId="25" xfId="1" applyFont="1" applyFill="1" applyBorder="1" applyAlignment="1" applyProtection="1">
      <alignment horizontal="center" vertical="center" wrapText="1"/>
      <protection locked="0"/>
    </xf>
    <xf numFmtId="0" fontId="9" fillId="4" borderId="39" xfId="1" applyFont="1" applyFill="1" applyBorder="1" applyAlignment="1" applyProtection="1">
      <alignment horizontal="center" vertical="center"/>
      <protection locked="0"/>
    </xf>
    <xf numFmtId="0" fontId="9" fillId="4" borderId="40" xfId="1" applyFont="1" applyFill="1" applyBorder="1" applyAlignment="1" applyProtection="1">
      <alignment horizontal="center" vertical="center"/>
      <protection locked="0"/>
    </xf>
    <xf numFmtId="174" fontId="9" fillId="4" borderId="28" xfId="7" applyNumberFormat="1" applyFont="1" applyFill="1" applyBorder="1" applyAlignment="1" applyProtection="1">
      <alignment horizontal="right" vertical="center"/>
      <protection locked="0"/>
    </xf>
    <xf numFmtId="0" fontId="9" fillId="4" borderId="41" xfId="1" applyFont="1" applyFill="1" applyBorder="1" applyAlignment="1" applyProtection="1">
      <alignment horizontal="center" vertical="center"/>
      <protection locked="0"/>
    </xf>
    <xf numFmtId="0" fontId="9" fillId="4" borderId="42" xfId="1" applyFont="1" applyFill="1" applyBorder="1" applyAlignment="1" applyProtection="1">
      <alignment horizontal="center" vertical="center"/>
      <protection locked="0"/>
    </xf>
    <xf numFmtId="168" fontId="9" fillId="4" borderId="28" xfId="2" applyNumberFormat="1" applyFont="1" applyFill="1" applyBorder="1" applyAlignment="1" applyProtection="1">
      <alignment horizontal="right" vertical="center"/>
      <protection locked="0"/>
    </xf>
    <xf numFmtId="0" fontId="9" fillId="4" borderId="28" xfId="1" applyFont="1" applyFill="1" applyBorder="1" applyAlignment="1" applyProtection="1">
      <alignment horizontal="center" vertical="center" wrapText="1"/>
      <protection locked="0"/>
    </xf>
    <xf numFmtId="0" fontId="8" fillId="3" borderId="0" xfId="1" applyFont="1" applyFill="1" applyAlignment="1" applyProtection="1">
      <alignment horizontal="center" vertical="center"/>
      <protection locked="0"/>
    </xf>
    <xf numFmtId="0" fontId="9" fillId="4" borderId="9" xfId="1" applyFont="1" applyFill="1" applyBorder="1" applyAlignment="1" applyProtection="1">
      <alignment horizontal="center" vertical="center"/>
      <protection locked="0"/>
    </xf>
    <xf numFmtId="0" fontId="16" fillId="3" borderId="15" xfId="0" applyFont="1" applyFill="1" applyBorder="1" applyAlignment="1" applyProtection="1">
      <alignment horizontal="center" vertical="center" wrapText="1"/>
      <protection locked="0"/>
    </xf>
    <xf numFmtId="0" fontId="16" fillId="3" borderId="17" xfId="0" applyFont="1" applyFill="1" applyBorder="1" applyAlignment="1" applyProtection="1">
      <alignment horizontal="center" vertical="center" wrapText="1"/>
      <protection locked="0"/>
    </xf>
    <xf numFmtId="0" fontId="16" fillId="3" borderId="18" xfId="0" applyFont="1" applyFill="1" applyBorder="1" applyAlignment="1" applyProtection="1">
      <alignment horizontal="center" vertical="center" wrapText="1"/>
      <protection locked="0"/>
    </xf>
    <xf numFmtId="0" fontId="16" fillId="3" borderId="19" xfId="0" applyFont="1" applyFill="1" applyBorder="1" applyAlignment="1" applyProtection="1">
      <alignment horizontal="center" vertical="center" wrapText="1"/>
      <protection locked="0"/>
    </xf>
    <xf numFmtId="0" fontId="16" fillId="3" borderId="11" xfId="0" applyFont="1" applyFill="1" applyBorder="1" applyAlignment="1" applyProtection="1">
      <alignment horizontal="center" vertical="center" wrapText="1"/>
      <protection locked="0"/>
    </xf>
    <xf numFmtId="0" fontId="16" fillId="3" borderId="12" xfId="0" applyFont="1" applyFill="1" applyBorder="1" applyAlignment="1" applyProtection="1">
      <alignment horizontal="center" vertical="center" wrapText="1"/>
      <protection locked="0"/>
    </xf>
    <xf numFmtId="0" fontId="16" fillId="3" borderId="13" xfId="0" applyFont="1" applyFill="1" applyBorder="1" applyAlignment="1" applyProtection="1">
      <alignment horizontal="center" vertical="center" wrapText="1"/>
      <protection locked="0"/>
    </xf>
    <xf numFmtId="0" fontId="16" fillId="3" borderId="16" xfId="0" applyFont="1" applyFill="1" applyBorder="1" applyAlignment="1" applyProtection="1">
      <alignment horizontal="center" vertical="center" wrapText="1"/>
      <protection locked="0"/>
    </xf>
    <xf numFmtId="0" fontId="16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16" fillId="3" borderId="12" xfId="0" applyFont="1" applyFill="1" applyBorder="1" applyAlignment="1" applyProtection="1">
      <alignment horizontal="center" vertical="center"/>
      <protection locked="0"/>
    </xf>
    <xf numFmtId="0" fontId="16" fillId="3" borderId="13" xfId="0" applyFont="1" applyFill="1" applyBorder="1" applyAlignment="1" applyProtection="1">
      <alignment horizontal="center" vertical="center"/>
      <protection locked="0"/>
    </xf>
    <xf numFmtId="0" fontId="13" fillId="4" borderId="9" xfId="1" applyFont="1" applyFill="1" applyBorder="1" applyAlignment="1" applyProtection="1">
      <alignment horizontal="center" vertical="center"/>
      <protection hidden="1"/>
    </xf>
    <xf numFmtId="0" fontId="13" fillId="4" borderId="0" xfId="1" applyFont="1" applyFill="1" applyAlignment="1" applyProtection="1">
      <alignment horizontal="center" vertical="center"/>
      <protection hidden="1"/>
    </xf>
    <xf numFmtId="169" fontId="13" fillId="4" borderId="9" xfId="1" applyNumberFormat="1" applyFont="1" applyFill="1" applyBorder="1" applyAlignment="1" applyProtection="1">
      <alignment horizontal="center" vertical="center"/>
      <protection hidden="1"/>
    </xf>
    <xf numFmtId="168" fontId="13" fillId="4" borderId="0" xfId="2" applyNumberFormat="1" applyFont="1" applyFill="1" applyBorder="1" applyAlignment="1" applyProtection="1">
      <alignment horizontal="left" vertical="center"/>
      <protection hidden="1"/>
    </xf>
    <xf numFmtId="168" fontId="13" fillId="4" borderId="11" xfId="2" applyNumberFormat="1" applyFont="1" applyFill="1" applyBorder="1" applyAlignment="1" applyProtection="1">
      <alignment horizontal="center" vertical="center"/>
      <protection locked="0"/>
    </xf>
    <xf numFmtId="168" fontId="13" fillId="4" borderId="12" xfId="2" applyNumberFormat="1" applyFont="1" applyFill="1" applyBorder="1" applyAlignment="1" applyProtection="1">
      <alignment horizontal="center" vertical="center"/>
      <protection locked="0"/>
    </xf>
    <xf numFmtId="168" fontId="13" fillId="4" borderId="13" xfId="2" applyNumberFormat="1" applyFont="1" applyFill="1" applyBorder="1" applyAlignment="1" applyProtection="1">
      <alignment horizontal="center" vertical="center"/>
      <protection locked="0"/>
    </xf>
    <xf numFmtId="168" fontId="13" fillId="4" borderId="11" xfId="2" applyNumberFormat="1" applyFont="1" applyFill="1" applyBorder="1" applyAlignment="1" applyProtection="1">
      <alignment horizontal="center" vertical="center"/>
    </xf>
    <xf numFmtId="168" fontId="13" fillId="4" borderId="12" xfId="2" applyNumberFormat="1" applyFont="1" applyFill="1" applyBorder="1" applyAlignment="1" applyProtection="1">
      <alignment horizontal="center" vertical="center"/>
    </xf>
    <xf numFmtId="168" fontId="13" fillId="4" borderId="13" xfId="2" applyNumberFormat="1" applyFont="1" applyFill="1" applyBorder="1" applyAlignment="1" applyProtection="1">
      <alignment horizontal="center" vertical="center"/>
    </xf>
    <xf numFmtId="49" fontId="6" fillId="3" borderId="11" xfId="0" applyNumberFormat="1" applyFont="1" applyFill="1" applyBorder="1" applyAlignment="1" applyProtection="1">
      <alignment horizontal="center" vertical="center"/>
      <protection locked="0"/>
    </xf>
    <xf numFmtId="49" fontId="6" fillId="3" borderId="12" xfId="0" applyNumberFormat="1" applyFont="1" applyFill="1" applyBorder="1" applyAlignment="1" applyProtection="1">
      <alignment horizontal="center" vertical="center"/>
      <protection locked="0"/>
    </xf>
    <xf numFmtId="49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18" fillId="2" borderId="10" xfId="1" applyFont="1" applyFill="1" applyBorder="1" applyAlignment="1" applyProtection="1">
      <alignment horizontal="justify" vertical="top" wrapText="1"/>
      <protection locked="0"/>
    </xf>
    <xf numFmtId="0" fontId="14" fillId="2" borderId="10" xfId="1" applyFont="1" applyFill="1" applyBorder="1" applyAlignment="1" applyProtection="1">
      <alignment horizontal="justify" vertical="top" wrapText="1"/>
      <protection locked="0"/>
    </xf>
    <xf numFmtId="0" fontId="14" fillId="4" borderId="16" xfId="1" applyFont="1" applyFill="1" applyBorder="1" applyAlignment="1" applyProtection="1">
      <alignment horizontal="center" vertical="center"/>
      <protection locked="0"/>
    </xf>
    <xf numFmtId="0" fontId="9" fillId="4" borderId="16" xfId="1" applyFont="1" applyFill="1" applyBorder="1" applyAlignment="1" applyProtection="1">
      <alignment horizontal="center" vertical="center"/>
      <protection locked="0"/>
    </xf>
    <xf numFmtId="1" fontId="13" fillId="4" borderId="9" xfId="1" applyNumberFormat="1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49" fontId="13" fillId="4" borderId="9" xfId="1" applyNumberFormat="1" applyFont="1" applyFill="1" applyBorder="1" applyAlignment="1" applyProtection="1">
      <alignment horizontal="center" vertical="center"/>
      <protection locked="0"/>
    </xf>
    <xf numFmtId="0" fontId="13" fillId="4" borderId="0" xfId="1" applyFont="1" applyFill="1" applyAlignment="1" applyProtection="1">
      <alignment horizontal="left" vertical="center"/>
      <protection hidden="1"/>
    </xf>
    <xf numFmtId="0" fontId="13" fillId="4" borderId="0" xfId="1" applyFont="1" applyFill="1" applyAlignment="1" applyProtection="1">
      <alignment horizontal="justify" vertical="center" wrapText="1"/>
      <protection hidden="1"/>
    </xf>
    <xf numFmtId="171" fontId="10" fillId="4" borderId="9" xfId="2" applyNumberFormat="1" applyFont="1" applyFill="1" applyBorder="1" applyAlignment="1" applyProtection="1">
      <alignment horizontal="center" vertical="center"/>
      <protection hidden="1"/>
    </xf>
    <xf numFmtId="1" fontId="10" fillId="0" borderId="11" xfId="0" applyNumberFormat="1" applyFont="1" applyBorder="1" applyAlignment="1" applyProtection="1">
      <alignment horizontal="center" vertical="center"/>
      <protection locked="0"/>
    </xf>
    <xf numFmtId="1" fontId="10" fillId="0" borderId="13" xfId="0" applyNumberFormat="1" applyFont="1" applyBorder="1" applyAlignment="1" applyProtection="1">
      <alignment horizontal="center" vertical="center"/>
      <protection locked="0"/>
    </xf>
    <xf numFmtId="14" fontId="17" fillId="2" borderId="11" xfId="0" applyNumberFormat="1" applyFont="1" applyFill="1" applyBorder="1" applyAlignment="1" applyProtection="1">
      <alignment horizontal="center" vertical="center"/>
      <protection locked="0"/>
    </xf>
    <xf numFmtId="14" fontId="17" fillId="2" borderId="12" xfId="0" applyNumberFormat="1" applyFont="1" applyFill="1" applyBorder="1" applyAlignment="1" applyProtection="1">
      <alignment horizontal="center" vertical="center"/>
      <protection locked="0"/>
    </xf>
    <xf numFmtId="14" fontId="17" fillId="2" borderId="13" xfId="0" applyNumberFormat="1" applyFont="1" applyFill="1" applyBorder="1" applyAlignment="1" applyProtection="1">
      <alignment horizontal="center" vertical="center"/>
      <protection locked="0"/>
    </xf>
    <xf numFmtId="10" fontId="13" fillId="4" borderId="11" xfId="2" applyNumberFormat="1" applyFont="1" applyFill="1" applyBorder="1" applyAlignment="1" applyProtection="1">
      <alignment horizontal="center" vertical="center"/>
      <protection locked="0"/>
    </xf>
    <xf numFmtId="10" fontId="13" fillId="4" borderId="12" xfId="2" applyNumberFormat="1" applyFont="1" applyFill="1" applyBorder="1" applyAlignment="1" applyProtection="1">
      <alignment horizontal="center" vertical="center"/>
      <protection locked="0"/>
    </xf>
    <xf numFmtId="10" fontId="13" fillId="4" borderId="13" xfId="2" applyNumberFormat="1" applyFont="1" applyFill="1" applyBorder="1" applyAlignment="1" applyProtection="1">
      <alignment horizontal="center" vertical="center"/>
      <protection locked="0"/>
    </xf>
    <xf numFmtId="0" fontId="6" fillId="4" borderId="12" xfId="0" applyFont="1" applyFill="1" applyBorder="1" applyProtection="1">
      <protection locked="0"/>
    </xf>
    <xf numFmtId="0" fontId="6" fillId="4" borderId="13" xfId="0" applyFont="1" applyFill="1" applyBorder="1" applyProtection="1">
      <protection locked="0"/>
    </xf>
    <xf numFmtId="0" fontId="8" fillId="3" borderId="0" xfId="1" applyFont="1" applyFill="1" applyAlignment="1" applyProtection="1">
      <alignment horizontal="center" vertical="center"/>
      <protection hidden="1"/>
    </xf>
    <xf numFmtId="0" fontId="6" fillId="0" borderId="12" xfId="0" applyFont="1" applyBorder="1" applyProtection="1">
      <protection locked="0"/>
    </xf>
    <xf numFmtId="0" fontId="6" fillId="0" borderId="13" xfId="0" applyFont="1" applyBorder="1" applyProtection="1">
      <protection locked="0"/>
    </xf>
    <xf numFmtId="1" fontId="10" fillId="4" borderId="9" xfId="1" applyNumberFormat="1" applyFont="1" applyFill="1" applyBorder="1" applyAlignment="1" applyProtection="1">
      <alignment horizontal="center" vertical="center"/>
      <protection locked="0"/>
    </xf>
    <xf numFmtId="0" fontId="13" fillId="4" borderId="9" xfId="1" applyFont="1" applyFill="1" applyBorder="1" applyAlignment="1" applyProtection="1">
      <alignment horizontal="center" vertical="center"/>
      <protection locked="0"/>
    </xf>
    <xf numFmtId="0" fontId="13" fillId="4" borderId="9" xfId="1" applyFont="1" applyFill="1" applyBorder="1" applyAlignment="1" applyProtection="1">
      <alignment horizontal="left" vertical="center"/>
      <protection hidden="1"/>
    </xf>
    <xf numFmtId="168" fontId="13" fillId="2" borderId="11" xfId="2" applyNumberFormat="1" applyFont="1" applyFill="1" applyBorder="1" applyAlignment="1" applyProtection="1">
      <alignment horizontal="center" vertical="center"/>
      <protection locked="0"/>
    </xf>
    <xf numFmtId="168" fontId="13" fillId="2" borderId="12" xfId="2" applyNumberFormat="1" applyFont="1" applyFill="1" applyBorder="1" applyAlignment="1" applyProtection="1">
      <alignment horizontal="center" vertical="center"/>
      <protection locked="0"/>
    </xf>
    <xf numFmtId="168" fontId="13" fillId="2" borderId="13" xfId="2" applyNumberFormat="1" applyFont="1" applyFill="1" applyBorder="1" applyAlignment="1" applyProtection="1">
      <alignment horizontal="center" vertical="center"/>
      <protection locked="0"/>
    </xf>
    <xf numFmtId="168" fontId="13" fillId="2" borderId="11" xfId="2" applyNumberFormat="1" applyFont="1" applyFill="1" applyBorder="1" applyAlignment="1" applyProtection="1">
      <alignment horizontal="center" vertical="center"/>
    </xf>
    <xf numFmtId="168" fontId="13" fillId="2" borderId="12" xfId="2" applyNumberFormat="1" applyFont="1" applyFill="1" applyBorder="1" applyAlignment="1" applyProtection="1">
      <alignment horizontal="center" vertical="center"/>
    </xf>
    <xf numFmtId="168" fontId="13" fillId="2" borderId="13" xfId="2" applyNumberFormat="1" applyFont="1" applyFill="1" applyBorder="1" applyAlignment="1" applyProtection="1">
      <alignment horizontal="center" vertical="center"/>
    </xf>
    <xf numFmtId="0" fontId="6" fillId="4" borderId="34" xfId="0" applyFont="1" applyFill="1" applyBorder="1" applyAlignment="1" applyProtection="1">
      <alignment horizontal="center"/>
      <protection locked="0"/>
    </xf>
    <xf numFmtId="0" fontId="6" fillId="4" borderId="35" xfId="0" applyFont="1" applyFill="1" applyBorder="1" applyAlignment="1" applyProtection="1">
      <alignment horizontal="center"/>
      <protection locked="0"/>
    </xf>
    <xf numFmtId="0" fontId="6" fillId="4" borderId="38" xfId="0" applyFont="1" applyFill="1" applyBorder="1" applyAlignment="1" applyProtection="1">
      <alignment horizontal="center"/>
      <protection locked="0"/>
    </xf>
    <xf numFmtId="49" fontId="13" fillId="4" borderId="34" xfId="0" applyNumberFormat="1" applyFont="1" applyFill="1" applyBorder="1" applyAlignment="1" applyProtection="1">
      <alignment horizontal="center" vertical="center"/>
      <protection locked="0"/>
    </xf>
    <xf numFmtId="49" fontId="13" fillId="4" borderId="35" xfId="0" applyNumberFormat="1" applyFont="1" applyFill="1" applyBorder="1" applyAlignment="1" applyProtection="1">
      <alignment horizontal="center" vertical="center"/>
      <protection locked="0"/>
    </xf>
    <xf numFmtId="49" fontId="13" fillId="4" borderId="38" xfId="0" applyNumberFormat="1" applyFont="1" applyFill="1" applyBorder="1" applyAlignment="1" applyProtection="1">
      <alignment horizontal="center" vertical="center"/>
      <protection locked="0"/>
    </xf>
    <xf numFmtId="0" fontId="9" fillId="4" borderId="22" xfId="2" applyNumberFormat="1" applyFont="1" applyFill="1" applyBorder="1" applyAlignment="1" applyProtection="1">
      <alignment horizontal="right" vertical="center"/>
      <protection locked="0"/>
    </xf>
    <xf numFmtId="0" fontId="9" fillId="4" borderId="23" xfId="2" applyNumberFormat="1" applyFont="1" applyFill="1" applyBorder="1" applyAlignment="1" applyProtection="1">
      <alignment horizontal="right" vertical="center"/>
      <protection locked="0"/>
    </xf>
    <xf numFmtId="172" fontId="17" fillId="2" borderId="11" xfId="0" applyNumberFormat="1" applyFont="1" applyFill="1" applyBorder="1" applyAlignment="1" applyProtection="1">
      <alignment horizontal="center" vertical="center"/>
      <protection locked="0"/>
    </xf>
    <xf numFmtId="172" fontId="17" fillId="2" borderId="12" xfId="0" applyNumberFormat="1" applyFont="1" applyFill="1" applyBorder="1" applyAlignment="1" applyProtection="1">
      <alignment horizontal="center" vertical="center"/>
      <protection locked="0"/>
    </xf>
    <xf numFmtId="172" fontId="17" fillId="2" borderId="13" xfId="0" applyNumberFormat="1" applyFont="1" applyFill="1" applyBorder="1" applyAlignment="1" applyProtection="1">
      <alignment horizontal="center" vertical="center"/>
      <protection locked="0"/>
    </xf>
    <xf numFmtId="10" fontId="13" fillId="2" borderId="11" xfId="2" applyNumberFormat="1" applyFont="1" applyFill="1" applyBorder="1" applyAlignment="1" applyProtection="1">
      <alignment horizontal="center" vertical="center"/>
      <protection locked="0"/>
    </xf>
    <xf numFmtId="10" fontId="13" fillId="2" borderId="12" xfId="2" applyNumberFormat="1" applyFont="1" applyFill="1" applyBorder="1" applyAlignment="1" applyProtection="1">
      <alignment horizontal="center" vertical="center"/>
      <protection locked="0"/>
    </xf>
    <xf numFmtId="10" fontId="13" fillId="2" borderId="13" xfId="2" applyNumberFormat="1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/>
      <protection locked="0"/>
    </xf>
    <xf numFmtId="0" fontId="6" fillId="4" borderId="28" xfId="0" applyFont="1" applyFill="1" applyBorder="1" applyAlignment="1" applyProtection="1">
      <alignment horizontal="center"/>
      <protection locked="0"/>
    </xf>
    <xf numFmtId="0" fontId="6" fillId="4" borderId="22" xfId="0" applyFont="1" applyFill="1" applyBorder="1" applyAlignment="1" applyProtection="1">
      <alignment horizontal="center"/>
      <protection locked="0"/>
    </xf>
    <xf numFmtId="0" fontId="7" fillId="4" borderId="11" xfId="1" applyFont="1" applyFill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11" fillId="2" borderId="47" xfId="1" applyFont="1" applyFill="1" applyBorder="1" applyAlignment="1" applyProtection="1">
      <alignment horizontal="center" vertical="center"/>
      <protection hidden="1"/>
    </xf>
    <xf numFmtId="0" fontId="12" fillId="2" borderId="47" xfId="1" applyFont="1" applyFill="1" applyBorder="1" applyAlignment="1" applyProtection="1">
      <alignment horizontal="center" vertical="center" wrapText="1"/>
      <protection hidden="1"/>
    </xf>
    <xf numFmtId="49" fontId="9" fillId="4" borderId="15" xfId="1" applyNumberFormat="1" applyFont="1" applyFill="1" applyBorder="1" applyAlignment="1" applyProtection="1">
      <alignment horizontal="justify" vertical="top" wrapText="1"/>
      <protection locked="0"/>
    </xf>
    <xf numFmtId="49" fontId="6" fillId="0" borderId="16" xfId="0" applyNumberFormat="1" applyFont="1" applyBorder="1" applyAlignment="1" applyProtection="1">
      <alignment horizontal="justify" vertical="top"/>
      <protection locked="0"/>
    </xf>
    <xf numFmtId="49" fontId="6" fillId="0" borderId="17" xfId="0" applyNumberFormat="1" applyFont="1" applyBorder="1" applyAlignment="1" applyProtection="1">
      <alignment horizontal="justify" vertical="top"/>
      <protection locked="0"/>
    </xf>
    <xf numFmtId="49" fontId="6" fillId="0" borderId="14" xfId="0" applyNumberFormat="1" applyFont="1" applyBorder="1" applyAlignment="1" applyProtection="1">
      <alignment horizontal="justify" vertical="top"/>
      <protection locked="0"/>
    </xf>
    <xf numFmtId="49" fontId="6" fillId="0" borderId="0" xfId="0" applyNumberFormat="1" applyFont="1" applyAlignment="1" applyProtection="1">
      <alignment horizontal="justify" vertical="top"/>
      <protection locked="0"/>
    </xf>
    <xf numFmtId="49" fontId="6" fillId="0" borderId="20" xfId="0" applyNumberFormat="1" applyFont="1" applyBorder="1" applyAlignment="1" applyProtection="1">
      <alignment horizontal="justify" vertical="top"/>
      <protection locked="0"/>
    </xf>
    <xf numFmtId="49" fontId="6" fillId="0" borderId="18" xfId="0" applyNumberFormat="1" applyFont="1" applyBorder="1" applyAlignment="1" applyProtection="1">
      <alignment horizontal="justify" vertical="top"/>
      <protection locked="0"/>
    </xf>
    <xf numFmtId="49" fontId="6" fillId="0" borderId="9" xfId="0" applyNumberFormat="1" applyFont="1" applyBorder="1" applyAlignment="1" applyProtection="1">
      <alignment horizontal="justify" vertical="top"/>
      <protection locked="0"/>
    </xf>
    <xf numFmtId="49" fontId="6" fillId="0" borderId="19" xfId="0" applyNumberFormat="1" applyFont="1" applyBorder="1" applyAlignment="1" applyProtection="1">
      <alignment horizontal="justify" vertical="top"/>
      <protection locked="0"/>
    </xf>
    <xf numFmtId="0" fontId="13" fillId="4" borderId="0" xfId="1" applyFont="1" applyFill="1" applyAlignment="1" applyProtection="1">
      <alignment vertical="center"/>
      <protection hidden="1"/>
    </xf>
    <xf numFmtId="0" fontId="13" fillId="4" borderId="20" xfId="1" applyFont="1" applyFill="1" applyBorder="1" applyAlignment="1" applyProtection="1">
      <alignment vertical="center"/>
      <protection hidden="1"/>
    </xf>
    <xf numFmtId="0" fontId="13" fillId="4" borderId="14" xfId="1" applyFont="1" applyFill="1" applyBorder="1" applyAlignment="1" applyProtection="1">
      <alignment horizontal="center" vertical="center"/>
      <protection hidden="1"/>
    </xf>
    <xf numFmtId="169" fontId="13" fillId="4" borderId="11" xfId="4" applyNumberFormat="1" applyFont="1" applyFill="1" applyBorder="1" applyAlignment="1" applyProtection="1">
      <alignment horizontal="center" vertical="center"/>
      <protection locked="0" hidden="1"/>
    </xf>
    <xf numFmtId="169" fontId="13" fillId="4" borderId="13" xfId="4" applyNumberFormat="1" applyFont="1" applyFill="1" applyBorder="1" applyAlignment="1" applyProtection="1">
      <alignment horizontal="center" vertical="center"/>
      <protection locked="0" hidden="1"/>
    </xf>
    <xf numFmtId="0" fontId="11" fillId="2" borderId="1" xfId="1" applyFont="1" applyFill="1" applyBorder="1" applyAlignment="1" applyProtection="1">
      <alignment horizontal="center" vertical="center"/>
      <protection hidden="1"/>
    </xf>
    <xf numFmtId="0" fontId="11" fillId="2" borderId="2" xfId="1" applyFont="1" applyFill="1" applyBorder="1" applyAlignment="1" applyProtection="1">
      <alignment horizontal="center" vertical="center"/>
      <protection hidden="1"/>
    </xf>
    <xf numFmtId="0" fontId="11" fillId="2" borderId="2" xfId="1" applyFont="1" applyFill="1" applyBorder="1" applyAlignment="1" applyProtection="1">
      <alignment horizontal="center" vertical="center" wrapText="1"/>
      <protection hidden="1"/>
    </xf>
    <xf numFmtId="0" fontId="12" fillId="2" borderId="1" xfId="1" applyFont="1" applyFill="1" applyBorder="1" applyAlignment="1" applyProtection="1">
      <alignment horizontal="center" vertical="center" wrapText="1"/>
      <protection hidden="1"/>
    </xf>
    <xf numFmtId="0" fontId="12" fillId="2" borderId="2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left" vertical="top" wrapText="1"/>
      <protection locked="0"/>
    </xf>
    <xf numFmtId="0" fontId="10" fillId="4" borderId="12" xfId="1" applyFont="1" applyFill="1" applyBorder="1" applyAlignment="1" applyProtection="1">
      <alignment horizontal="left" vertical="top" wrapText="1"/>
      <protection locked="0"/>
    </xf>
    <xf numFmtId="0" fontId="10" fillId="4" borderId="13" xfId="1" applyFont="1" applyFill="1" applyBorder="1" applyAlignment="1" applyProtection="1">
      <alignment horizontal="left" vertical="top" wrapText="1"/>
      <protection locked="0"/>
    </xf>
    <xf numFmtId="0" fontId="9" fillId="4" borderId="15" xfId="1" applyFont="1" applyFill="1" applyBorder="1" applyAlignment="1" applyProtection="1">
      <alignment horizontal="justify" vertical="top" wrapText="1"/>
      <protection locked="0"/>
    </xf>
    <xf numFmtId="0" fontId="6" fillId="0" borderId="16" xfId="0" applyFont="1" applyBorder="1" applyAlignment="1" applyProtection="1">
      <alignment horizontal="justify" vertical="top"/>
      <protection locked="0"/>
    </xf>
    <xf numFmtId="0" fontId="6" fillId="0" borderId="17" xfId="0" applyFont="1" applyBorder="1" applyAlignment="1" applyProtection="1">
      <alignment horizontal="justify" vertical="top"/>
      <protection locked="0"/>
    </xf>
    <xf numFmtId="0" fontId="6" fillId="0" borderId="14" xfId="0" applyFont="1" applyBorder="1" applyAlignment="1" applyProtection="1">
      <alignment horizontal="justify" vertical="top"/>
      <protection locked="0"/>
    </xf>
    <xf numFmtId="0" fontId="6" fillId="0" borderId="0" xfId="0" applyFont="1" applyAlignment="1" applyProtection="1">
      <alignment horizontal="justify" vertical="top"/>
      <protection locked="0"/>
    </xf>
    <xf numFmtId="0" fontId="6" fillId="0" borderId="20" xfId="0" applyFont="1" applyBorder="1" applyAlignment="1" applyProtection="1">
      <alignment horizontal="justify" vertical="top"/>
      <protection locked="0"/>
    </xf>
    <xf numFmtId="0" fontId="6" fillId="0" borderId="18" xfId="0" applyFont="1" applyBorder="1" applyAlignment="1" applyProtection="1">
      <alignment horizontal="justify" vertical="top"/>
      <protection locked="0"/>
    </xf>
    <xf numFmtId="0" fontId="6" fillId="0" borderId="9" xfId="0" applyFont="1" applyBorder="1" applyAlignment="1" applyProtection="1">
      <alignment horizontal="justify" vertical="top"/>
      <protection locked="0"/>
    </xf>
    <xf numFmtId="0" fontId="6" fillId="0" borderId="19" xfId="0" applyFont="1" applyBorder="1" applyAlignment="1" applyProtection="1">
      <alignment horizontal="justify" vertical="top"/>
      <protection locked="0"/>
    </xf>
    <xf numFmtId="0" fontId="13" fillId="4" borderId="12" xfId="1" applyFont="1" applyFill="1" applyBorder="1" applyAlignment="1" applyProtection="1">
      <alignment horizontal="left" vertical="top" wrapText="1"/>
      <protection locked="0"/>
    </xf>
    <xf numFmtId="0" fontId="13" fillId="4" borderId="13" xfId="1" applyFont="1" applyFill="1" applyBorder="1" applyAlignment="1" applyProtection="1">
      <alignment horizontal="left" vertical="top" wrapText="1"/>
      <protection locked="0"/>
    </xf>
    <xf numFmtId="0" fontId="21" fillId="4" borderId="11" xfId="1" applyFont="1" applyFill="1" applyBorder="1" applyAlignment="1" applyProtection="1">
      <alignment horizontal="center" vertical="center" wrapText="1"/>
      <protection locked="0"/>
    </xf>
    <xf numFmtId="0" fontId="13" fillId="2" borderId="0" xfId="1" applyFont="1" applyFill="1" applyAlignment="1" applyProtection="1">
      <alignment horizontal="left" vertical="center"/>
      <protection hidden="1"/>
    </xf>
    <xf numFmtId="0" fontId="13" fillId="2" borderId="20" xfId="1" applyFont="1" applyFill="1" applyBorder="1" applyAlignment="1" applyProtection="1">
      <alignment horizontal="left" vertical="center"/>
      <protection hidden="1"/>
    </xf>
    <xf numFmtId="0" fontId="13" fillId="0" borderId="14" xfId="1" applyFont="1" applyBorder="1" applyAlignment="1" applyProtection="1">
      <alignment horizontal="center" vertical="center"/>
      <protection hidden="1"/>
    </xf>
    <xf numFmtId="0" fontId="13" fillId="0" borderId="0" xfId="1" applyFont="1" applyAlignment="1" applyProtection="1">
      <alignment horizontal="center" vertical="center"/>
      <protection hidden="1"/>
    </xf>
    <xf numFmtId="0" fontId="13" fillId="0" borderId="20" xfId="1" applyFont="1" applyBorder="1" applyAlignment="1" applyProtection="1">
      <alignment horizontal="center" vertical="center"/>
      <protection hidden="1"/>
    </xf>
    <xf numFmtId="0" fontId="10" fillId="2" borderId="0" xfId="1" applyFont="1" applyFill="1" applyAlignment="1" applyProtection="1">
      <alignment horizontal="center" vertical="center"/>
      <protection hidden="1"/>
    </xf>
    <xf numFmtId="0" fontId="10" fillId="4" borderId="21" xfId="1" applyFont="1" applyFill="1" applyBorder="1" applyAlignment="1" applyProtection="1">
      <alignment horizontal="left" vertical="center"/>
      <protection hidden="1"/>
    </xf>
    <xf numFmtId="0" fontId="10" fillId="4" borderId="22" xfId="1" applyFont="1" applyFill="1" applyBorder="1" applyAlignment="1" applyProtection="1">
      <alignment horizontal="left" vertical="center"/>
      <protection hidden="1"/>
    </xf>
    <xf numFmtId="0" fontId="13" fillId="4" borderId="20" xfId="1" applyFont="1" applyFill="1" applyBorder="1" applyAlignment="1" applyProtection="1">
      <alignment horizontal="left" vertical="center"/>
      <protection hidden="1"/>
    </xf>
    <xf numFmtId="0" fontId="13" fillId="4" borderId="24" xfId="1" applyFont="1" applyFill="1" applyBorder="1" applyAlignment="1" applyProtection="1">
      <alignment horizontal="left" vertical="center"/>
      <protection hidden="1"/>
    </xf>
    <xf numFmtId="0" fontId="13" fillId="4" borderId="25" xfId="1" applyFont="1" applyFill="1" applyBorder="1" applyAlignment="1" applyProtection="1">
      <alignment horizontal="left" vertical="center"/>
      <protection hidden="1"/>
    </xf>
    <xf numFmtId="0" fontId="13" fillId="4" borderId="37" xfId="1" applyFont="1" applyFill="1" applyBorder="1" applyAlignment="1" applyProtection="1">
      <alignment vertical="center"/>
      <protection hidden="1"/>
    </xf>
    <xf numFmtId="0" fontId="13" fillId="4" borderId="35" xfId="1" applyFont="1" applyFill="1" applyBorder="1" applyAlignment="1" applyProtection="1">
      <alignment vertical="center"/>
      <protection hidden="1"/>
    </xf>
    <xf numFmtId="0" fontId="13" fillId="4" borderId="38" xfId="1" applyFont="1" applyFill="1" applyBorder="1" applyAlignment="1" applyProtection="1">
      <alignment vertical="center"/>
      <protection hidden="1"/>
    </xf>
    <xf numFmtId="0" fontId="10" fillId="4" borderId="27" xfId="1" applyFont="1" applyFill="1" applyBorder="1" applyAlignment="1" applyProtection="1">
      <alignment horizontal="left" vertical="center"/>
      <protection hidden="1"/>
    </xf>
    <xf numFmtId="0" fontId="10" fillId="4" borderId="28" xfId="1" applyFont="1" applyFill="1" applyBorder="1" applyAlignment="1" applyProtection="1">
      <alignment horizontal="left" vertical="center"/>
      <protection hidden="1"/>
    </xf>
    <xf numFmtId="165" fontId="10" fillId="4" borderId="41" xfId="2" applyNumberFormat="1" applyFont="1" applyFill="1" applyBorder="1" applyAlignment="1" applyProtection="1">
      <alignment horizontal="center" vertical="center"/>
      <protection hidden="1"/>
    </xf>
    <xf numFmtId="165" fontId="10" fillId="4" borderId="42" xfId="2" applyNumberFormat="1" applyFont="1" applyFill="1" applyBorder="1" applyAlignment="1" applyProtection="1">
      <alignment horizontal="center" vertical="center"/>
      <protection hidden="1"/>
    </xf>
    <xf numFmtId="165" fontId="10" fillId="4" borderId="43" xfId="2" applyNumberFormat="1" applyFont="1" applyFill="1" applyBorder="1" applyAlignment="1" applyProtection="1">
      <alignment horizontal="center" vertical="center"/>
      <protection hidden="1"/>
    </xf>
    <xf numFmtId="168" fontId="10" fillId="4" borderId="28" xfId="2" applyNumberFormat="1" applyFont="1" applyFill="1" applyBorder="1" applyAlignment="1" applyProtection="1">
      <alignment vertical="center"/>
      <protection hidden="1"/>
    </xf>
    <xf numFmtId="168" fontId="10" fillId="4" borderId="29" xfId="2" applyNumberFormat="1" applyFont="1" applyFill="1" applyBorder="1" applyAlignment="1" applyProtection="1">
      <alignment vertical="center"/>
      <protection hidden="1"/>
    </xf>
    <xf numFmtId="168" fontId="10" fillId="4" borderId="22" xfId="2" applyNumberFormat="1" applyFont="1" applyFill="1" applyBorder="1" applyAlignment="1" applyProtection="1">
      <alignment horizontal="center" vertical="center"/>
      <protection hidden="1"/>
    </xf>
    <xf numFmtId="168" fontId="10" fillId="4" borderId="23" xfId="2" applyNumberFormat="1" applyFont="1" applyFill="1" applyBorder="1" applyAlignment="1" applyProtection="1">
      <alignment horizontal="center" vertical="center"/>
      <protection hidden="1"/>
    </xf>
    <xf numFmtId="0" fontId="6" fillId="4" borderId="21" xfId="0" applyFont="1" applyFill="1" applyBorder="1" applyAlignment="1" applyProtection="1">
      <alignment horizontal="center"/>
      <protection hidden="1"/>
    </xf>
    <xf numFmtId="0" fontId="6" fillId="4" borderId="24" xfId="0" applyFont="1" applyFill="1" applyBorder="1" applyAlignment="1" applyProtection="1">
      <alignment horizontal="center"/>
      <protection hidden="1"/>
    </xf>
    <xf numFmtId="0" fontId="6" fillId="4" borderId="27" xfId="0" applyFont="1" applyFill="1" applyBorder="1" applyAlignment="1" applyProtection="1">
      <alignment horizontal="center"/>
      <protection hidden="1"/>
    </xf>
    <xf numFmtId="0" fontId="10" fillId="4" borderId="22" xfId="0" applyFont="1" applyFill="1" applyBorder="1" applyAlignment="1" applyProtection="1">
      <alignment horizontal="center" vertical="center" wrapText="1"/>
      <protection hidden="1"/>
    </xf>
    <xf numFmtId="0" fontId="6" fillId="4" borderId="22" xfId="0" applyFont="1" applyFill="1" applyBorder="1" applyAlignment="1" applyProtection="1">
      <alignment horizontal="center"/>
      <protection hidden="1"/>
    </xf>
    <xf numFmtId="0" fontId="6" fillId="4" borderId="25" xfId="0" applyFont="1" applyFill="1" applyBorder="1" applyAlignment="1" applyProtection="1">
      <alignment horizontal="center"/>
      <protection hidden="1"/>
    </xf>
    <xf numFmtId="0" fontId="6" fillId="4" borderId="28" xfId="0" applyFont="1" applyFill="1" applyBorder="1" applyAlignment="1" applyProtection="1">
      <alignment horizontal="center"/>
      <protection hidden="1"/>
    </xf>
    <xf numFmtId="0" fontId="10" fillId="4" borderId="22" xfId="0" applyFont="1" applyFill="1" applyBorder="1" applyAlignment="1" applyProtection="1">
      <alignment horizontal="center" vertical="center"/>
      <protection hidden="1"/>
    </xf>
    <xf numFmtId="0" fontId="10" fillId="4" borderId="25" xfId="0" applyFont="1" applyFill="1" applyBorder="1" applyAlignment="1" applyProtection="1">
      <alignment horizontal="center" vertical="center"/>
      <protection hidden="1"/>
    </xf>
    <xf numFmtId="0" fontId="10" fillId="4" borderId="28" xfId="0" applyFont="1" applyFill="1" applyBorder="1" applyAlignment="1" applyProtection="1">
      <alignment horizontal="center" vertical="center"/>
      <protection hidden="1"/>
    </xf>
    <xf numFmtId="0" fontId="6" fillId="0" borderId="23" xfId="0" applyFont="1" applyBorder="1" applyAlignment="1" applyProtection="1">
      <alignment horizontal="center"/>
      <protection hidden="1"/>
    </xf>
    <xf numFmtId="0" fontId="6" fillId="0" borderId="26" xfId="0" applyFont="1" applyBorder="1" applyAlignment="1" applyProtection="1">
      <alignment horizontal="center"/>
      <protection hidden="1"/>
    </xf>
    <xf numFmtId="0" fontId="6" fillId="0" borderId="29" xfId="0" applyFont="1" applyBorder="1" applyAlignment="1" applyProtection="1">
      <alignment horizontal="center"/>
      <protection hidden="1"/>
    </xf>
    <xf numFmtId="0" fontId="13" fillId="4" borderId="25" xfId="0" applyFont="1" applyFill="1" applyBorder="1" applyAlignment="1" applyProtection="1">
      <alignment horizontal="center" vertical="center" wrapText="1"/>
      <protection locked="0"/>
    </xf>
    <xf numFmtId="0" fontId="13" fillId="4" borderId="34" xfId="0" applyFont="1" applyFill="1" applyBorder="1" applyAlignment="1" applyProtection="1">
      <alignment horizontal="center" vertical="center"/>
      <protection locked="0"/>
    </xf>
    <xf numFmtId="0" fontId="9" fillId="4" borderId="32" xfId="1" applyFont="1" applyFill="1" applyBorder="1" applyAlignment="1" applyProtection="1">
      <alignment horizontal="center" vertical="center"/>
      <protection hidden="1"/>
    </xf>
    <xf numFmtId="0" fontId="9" fillId="4" borderId="33" xfId="1" applyFont="1" applyFill="1" applyBorder="1" applyAlignment="1" applyProtection="1">
      <alignment horizontal="center" vertical="center"/>
      <protection hidden="1"/>
    </xf>
    <xf numFmtId="0" fontId="9" fillId="4" borderId="4" xfId="1" applyFont="1" applyFill="1" applyBorder="1" applyAlignment="1" applyProtection="1">
      <alignment horizontal="center" vertical="center"/>
      <protection hidden="1"/>
    </xf>
    <xf numFmtId="0" fontId="9" fillId="4" borderId="0" xfId="1" applyFont="1" applyFill="1" applyAlignment="1" applyProtection="1">
      <alignment horizontal="center" vertical="center"/>
      <protection hidden="1"/>
    </xf>
    <xf numFmtId="0" fontId="9" fillId="4" borderId="7" xfId="1" applyFont="1" applyFill="1" applyBorder="1" applyAlignment="1" applyProtection="1">
      <alignment horizontal="center" vertical="center"/>
      <protection hidden="1"/>
    </xf>
    <xf numFmtId="0" fontId="9" fillId="4" borderId="30" xfId="1" applyFont="1" applyFill="1" applyBorder="1" applyAlignment="1" applyProtection="1">
      <alignment horizontal="center" vertical="center"/>
      <protection hidden="1"/>
    </xf>
    <xf numFmtId="0" fontId="9" fillId="4" borderId="31" xfId="1" applyFont="1" applyFill="1" applyBorder="1" applyAlignment="1" applyProtection="1">
      <alignment horizontal="center" vertical="center"/>
      <protection hidden="1"/>
    </xf>
    <xf numFmtId="49" fontId="9" fillId="4" borderId="4" xfId="1" applyNumberFormat="1" applyFont="1" applyFill="1" applyBorder="1" applyAlignment="1" applyProtection="1">
      <alignment horizontal="center" vertical="center"/>
      <protection hidden="1"/>
    </xf>
    <xf numFmtId="49" fontId="9" fillId="4" borderId="0" xfId="1" applyNumberFormat="1" applyFont="1" applyFill="1" applyAlignment="1" applyProtection="1">
      <alignment horizontal="center" vertical="center"/>
      <protection hidden="1"/>
    </xf>
    <xf numFmtId="49" fontId="9" fillId="4" borderId="7" xfId="1" applyNumberFormat="1" applyFont="1" applyFill="1" applyBorder="1" applyAlignment="1" applyProtection="1">
      <alignment horizontal="center" vertical="center"/>
      <protection hidden="1"/>
    </xf>
    <xf numFmtId="0" fontId="9" fillId="4" borderId="22" xfId="1" applyFont="1" applyFill="1" applyBorder="1" applyAlignment="1" applyProtection="1">
      <alignment horizontal="center" vertical="center" wrapText="1"/>
      <protection hidden="1"/>
    </xf>
    <xf numFmtId="0" fontId="9" fillId="4" borderId="37" xfId="1" applyFont="1" applyFill="1" applyBorder="1" applyAlignment="1" applyProtection="1">
      <alignment horizontal="center" vertical="center"/>
      <protection hidden="1"/>
    </xf>
    <xf numFmtId="0" fontId="9" fillId="4" borderId="38" xfId="1" applyFont="1" applyFill="1" applyBorder="1" applyAlignment="1" applyProtection="1">
      <alignment horizontal="center" vertical="center"/>
      <protection hidden="1"/>
    </xf>
    <xf numFmtId="0" fontId="9" fillId="4" borderId="34" xfId="1" applyFont="1" applyFill="1" applyBorder="1" applyAlignment="1" applyProtection="1">
      <alignment horizontal="center" vertical="center"/>
      <protection hidden="1"/>
    </xf>
    <xf numFmtId="0" fontId="9" fillId="4" borderId="35" xfId="1" applyFont="1" applyFill="1" applyBorder="1" applyAlignment="1" applyProtection="1">
      <alignment horizontal="center" vertical="center"/>
      <protection hidden="1"/>
    </xf>
    <xf numFmtId="0" fontId="9" fillId="4" borderId="25" xfId="1" applyFont="1" applyFill="1" applyBorder="1" applyAlignment="1" applyProtection="1">
      <alignment horizontal="center" vertical="center" wrapText="1"/>
      <protection hidden="1"/>
    </xf>
    <xf numFmtId="0" fontId="9" fillId="4" borderId="39" xfId="1" applyFont="1" applyFill="1" applyBorder="1" applyAlignment="1" applyProtection="1">
      <alignment horizontal="center" vertical="center"/>
      <protection hidden="1"/>
    </xf>
    <xf numFmtId="0" fontId="9" fillId="4" borderId="40" xfId="1" applyFont="1" applyFill="1" applyBorder="1" applyAlignment="1" applyProtection="1">
      <alignment horizontal="center" vertical="center"/>
      <protection hidden="1"/>
    </xf>
    <xf numFmtId="166" fontId="9" fillId="4" borderId="28" xfId="7" applyFont="1" applyFill="1" applyBorder="1" applyAlignment="1" applyProtection="1">
      <alignment horizontal="right" vertical="center"/>
      <protection locked="0"/>
    </xf>
    <xf numFmtId="0" fontId="9" fillId="4" borderId="41" xfId="1" applyFont="1" applyFill="1" applyBorder="1" applyAlignment="1" applyProtection="1">
      <alignment horizontal="center" vertical="center"/>
      <protection hidden="1"/>
    </xf>
    <xf numFmtId="0" fontId="9" fillId="4" borderId="42" xfId="1" applyFont="1" applyFill="1" applyBorder="1" applyAlignment="1" applyProtection="1">
      <alignment horizontal="center" vertical="center"/>
      <protection hidden="1"/>
    </xf>
    <xf numFmtId="0" fontId="9" fillId="4" borderId="28" xfId="1" applyFont="1" applyFill="1" applyBorder="1" applyAlignment="1" applyProtection="1">
      <alignment horizontal="center" vertical="center" wrapText="1"/>
      <protection hidden="1"/>
    </xf>
    <xf numFmtId="0" fontId="9" fillId="4" borderId="9" xfId="1" applyFont="1" applyFill="1" applyBorder="1" applyAlignment="1" applyProtection="1">
      <alignment horizontal="center" vertical="center"/>
      <protection hidden="1"/>
    </xf>
    <xf numFmtId="0" fontId="16" fillId="3" borderId="15" xfId="0" applyFont="1" applyFill="1" applyBorder="1" applyAlignment="1" applyProtection="1">
      <alignment horizontal="center" vertical="center" wrapText="1"/>
      <protection hidden="1"/>
    </xf>
    <xf numFmtId="0" fontId="16" fillId="3" borderId="17" xfId="0" applyFont="1" applyFill="1" applyBorder="1" applyAlignment="1" applyProtection="1">
      <alignment horizontal="center" vertical="center" wrapText="1"/>
      <protection hidden="1"/>
    </xf>
    <xf numFmtId="0" fontId="16" fillId="3" borderId="18" xfId="0" applyFont="1" applyFill="1" applyBorder="1" applyAlignment="1" applyProtection="1">
      <alignment horizontal="center" vertical="center" wrapText="1"/>
      <protection hidden="1"/>
    </xf>
    <xf numFmtId="0" fontId="16" fillId="3" borderId="19" xfId="0" applyFont="1" applyFill="1" applyBorder="1" applyAlignment="1" applyProtection="1">
      <alignment horizontal="center" vertical="center" wrapText="1"/>
      <protection hidden="1"/>
    </xf>
    <xf numFmtId="0" fontId="16" fillId="3" borderId="11" xfId="0" applyFont="1" applyFill="1" applyBorder="1" applyAlignment="1" applyProtection="1">
      <alignment horizontal="center" vertical="center" wrapText="1"/>
      <protection hidden="1"/>
    </xf>
    <xf numFmtId="0" fontId="16" fillId="3" borderId="12" xfId="0" applyFont="1" applyFill="1" applyBorder="1" applyAlignment="1" applyProtection="1">
      <alignment horizontal="center" vertical="center" wrapText="1"/>
      <protection hidden="1"/>
    </xf>
    <xf numFmtId="0" fontId="16" fillId="3" borderId="13" xfId="0" applyFont="1" applyFill="1" applyBorder="1" applyAlignment="1" applyProtection="1">
      <alignment horizontal="center" vertical="center" wrapText="1"/>
      <protection hidden="1"/>
    </xf>
    <xf numFmtId="0" fontId="16" fillId="3" borderId="16" xfId="0" applyFont="1" applyFill="1" applyBorder="1" applyAlignment="1" applyProtection="1">
      <alignment horizontal="center" vertical="center" wrapText="1"/>
      <protection hidden="1"/>
    </xf>
    <xf numFmtId="0" fontId="16" fillId="3" borderId="9" xfId="0" applyFont="1" applyFill="1" applyBorder="1" applyAlignment="1" applyProtection="1">
      <alignment horizontal="center" vertical="center" wrapText="1"/>
      <protection hidden="1"/>
    </xf>
    <xf numFmtId="168" fontId="13" fillId="2" borderId="11" xfId="2" applyNumberFormat="1" applyFont="1" applyFill="1" applyBorder="1" applyAlignment="1" applyProtection="1">
      <alignment horizontal="center" vertical="center"/>
      <protection hidden="1"/>
    </xf>
    <xf numFmtId="168" fontId="13" fillId="2" borderId="12" xfId="2" applyNumberFormat="1" applyFont="1" applyFill="1" applyBorder="1" applyAlignment="1" applyProtection="1">
      <alignment horizontal="center" vertical="center"/>
      <protection hidden="1"/>
    </xf>
    <xf numFmtId="168" fontId="13" fillId="2" borderId="13" xfId="2" applyNumberFormat="1" applyFont="1" applyFill="1" applyBorder="1" applyAlignment="1" applyProtection="1">
      <alignment horizontal="center" vertical="center"/>
      <protection hidden="1"/>
    </xf>
    <xf numFmtId="49" fontId="6" fillId="3" borderId="11" xfId="0" applyNumberFormat="1" applyFont="1" applyFill="1" applyBorder="1" applyAlignment="1" applyProtection="1">
      <alignment horizontal="center" vertical="center"/>
      <protection hidden="1"/>
    </xf>
    <xf numFmtId="49" fontId="6" fillId="3" borderId="12" xfId="0" applyNumberFormat="1" applyFont="1" applyFill="1" applyBorder="1" applyAlignment="1" applyProtection="1">
      <alignment horizontal="center" vertical="center"/>
      <protection hidden="1"/>
    </xf>
    <xf numFmtId="49" fontId="6" fillId="3" borderId="13" xfId="0" applyNumberFormat="1" applyFont="1" applyFill="1" applyBorder="1" applyAlignment="1" applyProtection="1">
      <alignment horizontal="center" vertical="center"/>
      <protection hidden="1"/>
    </xf>
    <xf numFmtId="0" fontId="13" fillId="4" borderId="12" xfId="1" applyFont="1" applyFill="1" applyBorder="1" applyAlignment="1" applyProtection="1">
      <alignment horizontal="center" vertical="center"/>
      <protection hidden="1"/>
    </xf>
    <xf numFmtId="0" fontId="16" fillId="3" borderId="11" xfId="0" applyFont="1" applyFill="1" applyBorder="1" applyAlignment="1" applyProtection="1">
      <alignment horizontal="center" vertical="center"/>
      <protection hidden="1"/>
    </xf>
    <xf numFmtId="0" fontId="16" fillId="3" borderId="12" xfId="0" applyFont="1" applyFill="1" applyBorder="1" applyAlignment="1" applyProtection="1">
      <alignment horizontal="center" vertical="center"/>
      <protection hidden="1"/>
    </xf>
    <xf numFmtId="0" fontId="16" fillId="3" borderId="13" xfId="0" applyFont="1" applyFill="1" applyBorder="1" applyAlignment="1" applyProtection="1">
      <alignment horizontal="center" vertical="center"/>
      <protection hidden="1"/>
    </xf>
    <xf numFmtId="0" fontId="14" fillId="4" borderId="0" xfId="1" applyFont="1" applyFill="1" applyAlignment="1" applyProtection="1">
      <alignment horizontal="center" vertical="center"/>
      <protection hidden="1"/>
    </xf>
    <xf numFmtId="0" fontId="8" fillId="4" borderId="0" xfId="1" applyFont="1" applyFill="1" applyAlignment="1" applyProtection="1">
      <alignment horizontal="center" vertical="center"/>
      <protection hidden="1"/>
    </xf>
    <xf numFmtId="0" fontId="14" fillId="4" borderId="16" xfId="1" applyFont="1" applyFill="1" applyBorder="1" applyAlignment="1" applyProtection="1">
      <alignment horizontal="center" vertical="center"/>
      <protection hidden="1"/>
    </xf>
    <xf numFmtId="0" fontId="9" fillId="4" borderId="16" xfId="1" applyFont="1" applyFill="1" applyBorder="1" applyAlignment="1" applyProtection="1">
      <alignment horizontal="center" vertical="center"/>
      <protection hidden="1"/>
    </xf>
    <xf numFmtId="0" fontId="8" fillId="4" borderId="48" xfId="1" applyFont="1" applyFill="1" applyBorder="1" applyAlignment="1" applyProtection="1">
      <alignment horizontal="center" vertical="center"/>
      <protection hidden="1"/>
    </xf>
    <xf numFmtId="0" fontId="13" fillId="4" borderId="44" xfId="1" applyFont="1" applyFill="1" applyBorder="1" applyAlignment="1" applyProtection="1">
      <alignment horizontal="center" vertical="top" wrapText="1"/>
      <protection locked="0"/>
    </xf>
    <xf numFmtId="0" fontId="13" fillId="4" borderId="45" xfId="1" applyFont="1" applyFill="1" applyBorder="1" applyAlignment="1" applyProtection="1">
      <alignment horizontal="center" vertical="top" wrapText="1"/>
      <protection locked="0"/>
    </xf>
    <xf numFmtId="0" fontId="13" fillId="4" borderId="46" xfId="1" applyFont="1" applyFill="1" applyBorder="1" applyAlignment="1" applyProtection="1">
      <alignment horizontal="center" vertical="top" wrapText="1"/>
      <protection locked="0"/>
    </xf>
    <xf numFmtId="0" fontId="13" fillId="4" borderId="49" xfId="1" applyFont="1" applyFill="1" applyBorder="1" applyAlignment="1" applyProtection="1">
      <alignment horizontal="center" vertical="top" wrapText="1"/>
      <protection locked="0"/>
    </xf>
    <xf numFmtId="0" fontId="13" fillId="4" borderId="50" xfId="1" applyFont="1" applyFill="1" applyBorder="1" applyAlignment="1" applyProtection="1">
      <alignment horizontal="center" vertical="top" wrapText="1"/>
      <protection locked="0"/>
    </xf>
    <xf numFmtId="0" fontId="13" fillId="4" borderId="51" xfId="1" applyFont="1" applyFill="1" applyBorder="1" applyAlignment="1" applyProtection="1">
      <alignment horizontal="center" vertical="top" wrapText="1"/>
      <protection locked="0"/>
    </xf>
    <xf numFmtId="0" fontId="7" fillId="4" borderId="52" xfId="1" applyFont="1" applyFill="1" applyBorder="1" applyAlignment="1" applyProtection="1">
      <alignment horizontal="center" vertical="center" wrapText="1"/>
      <protection locked="0"/>
    </xf>
    <xf numFmtId="0" fontId="13" fillId="4" borderId="53" xfId="1" applyFont="1" applyFill="1" applyBorder="1" applyAlignment="1" applyProtection="1">
      <alignment horizontal="center" vertical="center" wrapText="1"/>
      <protection locked="0"/>
    </xf>
    <xf numFmtId="0" fontId="13" fillId="4" borderId="54" xfId="1" applyFont="1" applyFill="1" applyBorder="1" applyAlignment="1" applyProtection="1">
      <alignment horizontal="center" vertical="center" wrapText="1"/>
      <protection locked="0"/>
    </xf>
  </cellXfs>
  <cellStyles count="11">
    <cellStyle name="Millares" xfId="7" builtinId="3"/>
    <cellStyle name="Millares 2" xfId="2" xr:uid="{00000000-0005-0000-0000-000001000000}"/>
    <cellStyle name="Millares 3" xfId="9" xr:uid="{00000000-0005-0000-0000-000002000000}"/>
    <cellStyle name="Millares 4" xfId="4" xr:uid="{00000000-0005-0000-0000-000003000000}"/>
    <cellStyle name="Millares 5" xfId="6" xr:uid="{00000000-0005-0000-0000-000004000000}"/>
    <cellStyle name="Normal" xfId="0" builtinId="0"/>
    <cellStyle name="Normal 2" xfId="1" xr:uid="{00000000-0005-0000-0000-000006000000}"/>
    <cellStyle name="Normal 3" xfId="3" xr:uid="{00000000-0005-0000-0000-000007000000}"/>
    <cellStyle name="Normal 5" xfId="5" xr:uid="{00000000-0005-0000-0000-000008000000}"/>
    <cellStyle name="Normal 5 2" xfId="10" xr:uid="{00000000-0005-0000-0000-000009000000}"/>
    <cellStyle name="Porcentaje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://www.quibdo-choco.gov.c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0</xdr:row>
      <xdr:rowOff>60959</xdr:rowOff>
    </xdr:from>
    <xdr:to>
      <xdr:col>4</xdr:col>
      <xdr:colOff>502670</xdr:colOff>
      <xdr:row>5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EEF996-3206-4742-9259-9BC1F0340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60959"/>
          <a:ext cx="1569470" cy="11201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0</xdr:row>
      <xdr:rowOff>59531</xdr:rowOff>
    </xdr:from>
    <xdr:to>
      <xdr:col>3</xdr:col>
      <xdr:colOff>142874</xdr:colOff>
      <xdr:row>5</xdr:row>
      <xdr:rowOff>114300</xdr:rowOff>
    </xdr:to>
    <xdr:pic>
      <xdr:nvPicPr>
        <xdr:cNvPr id="2" name="1 Imagen" descr="Quibdó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49" y="59531"/>
          <a:ext cx="1266825" cy="1321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152400</xdr:colOff>
      <xdr:row>0</xdr:row>
      <xdr:rowOff>247650</xdr:rowOff>
    </xdr:from>
    <xdr:to>
      <xdr:col>31</xdr:col>
      <xdr:colOff>133351</xdr:colOff>
      <xdr:row>5</xdr:row>
      <xdr:rowOff>9525</xdr:rowOff>
    </xdr:to>
    <xdr:pic>
      <xdr:nvPicPr>
        <xdr:cNvPr id="3" name="Imagen 2" descr="SmartON Log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31" r="11010" b="9798"/>
        <a:stretch/>
      </xdr:blipFill>
      <xdr:spPr bwMode="auto">
        <a:xfrm>
          <a:off x="9886950" y="247650"/>
          <a:ext cx="2705101" cy="1028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78755</xdr:colOff>
      <xdr:row>6</xdr:row>
      <xdr:rowOff>24184</xdr:rowOff>
    </xdr:to>
    <xdr:pic>
      <xdr:nvPicPr>
        <xdr:cNvPr id="2" name="1 Imagen" descr="Quibdó">
          <a:hlinkClick xmlns:r="http://schemas.openxmlformats.org/officeDocument/2006/relationships" r:id="rId1" tooltip="&quot;Pulse para volver a la página de inicio&quot;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825" y="200025"/>
          <a:ext cx="1431305" cy="1262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ola%20Gomez/Dropbox/CONCEJO%20DE%20VILLAVICENCIO/paquetes%20de%20PROCEDIMIENTOS/10.%20GESTI&#211;N%20FINANCIERA/FORMATOS%20GF/FORMATOS%20TESORER&#205;A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dor\Mis%20documentos\Egreso%20concejo%20V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. CONCEJALES"/>
      <sheetName val="PAC MES"/>
      <sheetName val="PAC RUBROS"/>
      <sheetName val="C. INGRESO"/>
      <sheetName val="C. TRANSFERENCIA"/>
      <sheetName val="DOC. EQUIV."/>
      <sheetName val="DEPOSITOS JUD."/>
      <sheetName val="CONCILIACIÓN"/>
      <sheetName val="LIBRANZAS EMP."/>
      <sheetName val="LIBRANZAS PAGO"/>
      <sheetName val="SEG. SOCIAL"/>
      <sheetName val="CESANTIAS"/>
      <sheetName val="RETENCIÓN 1"/>
      <sheetName val="RETENCIÓN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54">
          <cell r="H154">
            <v>0</v>
          </cell>
        </row>
      </sheetData>
      <sheetData sheetId="11"/>
      <sheetData sheetId="12">
        <row r="37">
          <cell r="E37">
            <v>2658000</v>
          </cell>
        </row>
        <row r="80">
          <cell r="J80">
            <v>0.19</v>
          </cell>
          <cell r="K80">
            <v>0.32438602874295186</v>
          </cell>
        </row>
      </sheetData>
      <sheetData sheetId="13">
        <row r="37">
          <cell r="E37">
            <v>2658000</v>
          </cell>
        </row>
        <row r="154">
          <cell r="H15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"/>
      <sheetName val="calculos"/>
      <sheetName val="conversion"/>
      <sheetName val="CH"/>
      <sheetName val="conversion 2"/>
    </sheetNames>
    <sheetDataSet>
      <sheetData sheetId="0" refreshError="1"/>
      <sheetData sheetId="1">
        <row r="7">
          <cell r="C7">
            <v>0</v>
          </cell>
        </row>
        <row r="23">
          <cell r="G23">
            <v>17300</v>
          </cell>
        </row>
        <row r="24">
          <cell r="D24">
            <v>0</v>
          </cell>
        </row>
        <row r="25">
          <cell r="D25">
            <v>3500</v>
          </cell>
        </row>
      </sheetData>
      <sheetData sheetId="2">
        <row r="17">
          <cell r="C17" t="str">
            <v>CUARENTA Y UN MILLON CINCUENTA Y NUEVE MIL CUATROCIENTOS NOVENTA Y DOS PESOS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showGridLines="0" tabSelected="1" view="pageBreakPreview" topLeftCell="A33" zoomScaleNormal="100" zoomScaleSheetLayoutView="100" workbookViewId="0">
      <selection activeCell="J48" sqref="J48:J50"/>
    </sheetView>
  </sheetViews>
  <sheetFormatPr baseColWidth="10" defaultRowHeight="14.4" x14ac:dyDescent="0.3"/>
  <cols>
    <col min="1" max="1" width="6.33203125" customWidth="1"/>
    <col min="2" max="2" width="7" customWidth="1"/>
    <col min="3" max="3" width="2.109375" customWidth="1"/>
    <col min="4" max="4" width="2.6640625" customWidth="1"/>
    <col min="5" max="5" width="10" customWidth="1"/>
    <col min="6" max="6" width="4.33203125" customWidth="1"/>
    <col min="7" max="7" width="4" customWidth="1"/>
    <col min="8" max="9" width="5.33203125" customWidth="1"/>
    <col min="10" max="10" width="4.88671875" customWidth="1"/>
    <col min="11" max="11" width="5.6640625" customWidth="1"/>
    <col min="12" max="12" width="6.88671875" customWidth="1"/>
    <col min="13" max="13" width="9.109375" customWidth="1"/>
    <col min="14" max="14" width="4.5546875" customWidth="1"/>
    <col min="15" max="15" width="6.33203125" customWidth="1"/>
    <col min="16" max="16" width="5.44140625" customWidth="1"/>
    <col min="17" max="17" width="4.88671875" customWidth="1"/>
    <col min="18" max="18" width="5.88671875" customWidth="1"/>
    <col min="19" max="19" width="3" customWidth="1"/>
    <col min="20" max="20" width="4.5546875" customWidth="1"/>
    <col min="21" max="21" width="4.109375" customWidth="1"/>
    <col min="22" max="22" width="4.5546875" customWidth="1"/>
    <col min="23" max="23" width="3.6640625" customWidth="1"/>
    <col min="24" max="24" width="6.6640625" customWidth="1"/>
    <col min="25" max="25" width="5.33203125" customWidth="1"/>
    <col min="26" max="26" width="6.33203125" customWidth="1"/>
    <col min="27" max="27" width="6.6640625" customWidth="1"/>
    <col min="28" max="28" width="4.6640625" customWidth="1"/>
    <col min="29" max="29" width="3.44140625" customWidth="1"/>
    <col min="30" max="30" width="1.33203125" customWidth="1"/>
    <col min="31" max="31" width="3.109375" customWidth="1"/>
    <col min="32" max="32" width="11.44140625" style="91" hidden="1" customWidth="1"/>
    <col min="33" max="33" width="19" style="91" hidden="1" customWidth="1"/>
    <col min="34" max="34" width="24.109375" style="91" hidden="1" customWidth="1"/>
    <col min="35" max="35" width="26.5546875" style="1" hidden="1" customWidth="1"/>
  </cols>
  <sheetData>
    <row r="1" spans="1:35" x14ac:dyDescent="0.3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8"/>
      <c r="AF1" s="91">
        <v>1</v>
      </c>
      <c r="AG1" s="91" t="s">
        <v>120</v>
      </c>
      <c r="AH1" s="91">
        <v>2019</v>
      </c>
    </row>
    <row r="2" spans="1:35" ht="17.399999999999999" x14ac:dyDescent="0.3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4"/>
      <c r="AF2" s="91">
        <v>2</v>
      </c>
      <c r="AG2" s="91" t="s">
        <v>121</v>
      </c>
      <c r="AH2" s="91">
        <v>2020</v>
      </c>
    </row>
    <row r="3" spans="1:35" ht="17.399999999999999" x14ac:dyDescent="0.3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4"/>
      <c r="AF3" s="91">
        <v>3</v>
      </c>
      <c r="AG3" s="91" t="s">
        <v>122</v>
      </c>
      <c r="AH3" s="91">
        <v>2021</v>
      </c>
    </row>
    <row r="4" spans="1:35" ht="17.399999999999999" x14ac:dyDescent="0.3">
      <c r="A4" s="135" t="s">
        <v>132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6"/>
      <c r="AF4" s="91">
        <v>4</v>
      </c>
      <c r="AG4" s="91" t="s">
        <v>123</v>
      </c>
    </row>
    <row r="5" spans="1:35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61"/>
      <c r="AF5" s="91">
        <v>5</v>
      </c>
      <c r="AG5" s="91" t="s">
        <v>124</v>
      </c>
    </row>
    <row r="6" spans="1:35" ht="16.8" x14ac:dyDescent="0.3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8"/>
      <c r="AF6" s="91">
        <v>6</v>
      </c>
      <c r="AG6" s="91" t="s">
        <v>125</v>
      </c>
      <c r="AH6" s="91" t="s">
        <v>145</v>
      </c>
      <c r="AI6" s="1" t="s">
        <v>27</v>
      </c>
    </row>
    <row r="7" spans="1:35" ht="15.6" x14ac:dyDescent="0.3">
      <c r="A7" s="139" t="s">
        <v>38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62"/>
      <c r="AF7" s="91">
        <v>7</v>
      </c>
      <c r="AG7" s="91" t="s">
        <v>148</v>
      </c>
      <c r="AH7" s="91" t="s">
        <v>75</v>
      </c>
      <c r="AI7" s="1" t="s">
        <v>146</v>
      </c>
    </row>
    <row r="8" spans="1:35" x14ac:dyDescent="0.3">
      <c r="A8" s="140" t="s">
        <v>57</v>
      </c>
      <c r="B8" s="140"/>
      <c r="C8" s="140"/>
      <c r="D8" s="140"/>
      <c r="E8" s="140"/>
      <c r="F8" s="140"/>
      <c r="G8" s="141"/>
      <c r="H8" s="142"/>
      <c r="I8" s="143"/>
      <c r="J8" s="143"/>
      <c r="K8" s="143"/>
      <c r="L8" s="143"/>
      <c r="M8" s="143"/>
      <c r="N8" s="143"/>
      <c r="O8" s="143"/>
      <c r="P8" s="144"/>
      <c r="Q8" s="100"/>
      <c r="R8" s="145" t="s">
        <v>1</v>
      </c>
      <c r="S8" s="145"/>
      <c r="T8" s="146"/>
      <c r="U8" s="147"/>
      <c r="V8" s="147"/>
      <c r="W8" s="147"/>
      <c r="X8" s="147"/>
      <c r="Y8" s="147"/>
      <c r="Z8" s="147"/>
      <c r="AA8" s="147"/>
      <c r="AB8" s="147"/>
      <c r="AC8" s="147"/>
      <c r="AD8" s="148"/>
      <c r="AE8" s="64"/>
      <c r="AF8" s="91">
        <v>8</v>
      </c>
      <c r="AG8" s="91" t="s">
        <v>126</v>
      </c>
      <c r="AH8" s="91" t="s">
        <v>140</v>
      </c>
      <c r="AI8" s="1" t="s">
        <v>147</v>
      </c>
    </row>
    <row r="9" spans="1:35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49"/>
      <c r="U9" s="150"/>
      <c r="V9" s="150"/>
      <c r="W9" s="150"/>
      <c r="X9" s="150"/>
      <c r="Y9" s="150"/>
      <c r="Z9" s="150"/>
      <c r="AA9" s="150"/>
      <c r="AB9" s="150"/>
      <c r="AC9" s="150"/>
      <c r="AD9" s="151"/>
      <c r="AE9" s="66"/>
      <c r="AF9" s="91">
        <v>9</v>
      </c>
      <c r="AG9" s="91" t="s">
        <v>127</v>
      </c>
      <c r="AH9" s="91" t="s">
        <v>141</v>
      </c>
    </row>
    <row r="10" spans="1:35" x14ac:dyDescent="0.3">
      <c r="A10" s="140" t="s">
        <v>18</v>
      </c>
      <c r="B10" s="140"/>
      <c r="C10" s="140"/>
      <c r="D10" s="140"/>
      <c r="E10" s="140"/>
      <c r="F10" s="140"/>
      <c r="G10" s="141"/>
      <c r="H10" s="166" t="s">
        <v>153</v>
      </c>
      <c r="I10" s="167"/>
      <c r="J10" s="167"/>
      <c r="K10" s="167"/>
      <c r="L10" s="167"/>
      <c r="M10" s="167"/>
      <c r="N10" s="167"/>
      <c r="O10" s="167"/>
      <c r="P10" s="168"/>
      <c r="Q10" s="101"/>
      <c r="R10" s="100"/>
      <c r="S10" s="102"/>
      <c r="T10" s="149"/>
      <c r="U10" s="150"/>
      <c r="V10" s="150"/>
      <c r="W10" s="150"/>
      <c r="X10" s="150"/>
      <c r="Y10" s="150"/>
      <c r="Z10" s="150"/>
      <c r="AA10" s="150"/>
      <c r="AB10" s="150"/>
      <c r="AC10" s="150"/>
      <c r="AD10" s="151"/>
      <c r="AE10" s="66"/>
      <c r="AF10" s="91">
        <v>10</v>
      </c>
      <c r="AG10" s="91" t="s">
        <v>128</v>
      </c>
      <c r="AH10" s="91" t="s">
        <v>142</v>
      </c>
    </row>
    <row r="11" spans="1:35" x14ac:dyDescent="0.3">
      <c r="A11" s="103"/>
      <c r="B11" s="103"/>
      <c r="C11" s="103"/>
      <c r="D11" s="103"/>
      <c r="E11" s="103"/>
      <c r="F11" s="101"/>
      <c r="G11" s="101"/>
      <c r="H11" s="104"/>
      <c r="I11" s="104"/>
      <c r="J11" s="104"/>
      <c r="K11" s="104"/>
      <c r="L11" s="104"/>
      <c r="M11" s="104"/>
      <c r="N11" s="104"/>
      <c r="O11" s="104"/>
      <c r="P11" s="104"/>
      <c r="Q11" s="101"/>
      <c r="R11" s="101"/>
      <c r="S11" s="101"/>
      <c r="T11" s="149"/>
      <c r="U11" s="150"/>
      <c r="V11" s="150"/>
      <c r="W11" s="150"/>
      <c r="X11" s="150"/>
      <c r="Y11" s="150"/>
      <c r="Z11" s="150"/>
      <c r="AA11" s="150"/>
      <c r="AB11" s="150"/>
      <c r="AC11" s="150"/>
      <c r="AD11" s="151"/>
      <c r="AE11" s="66"/>
      <c r="AF11" s="91">
        <v>11</v>
      </c>
      <c r="AG11" s="91" t="s">
        <v>129</v>
      </c>
      <c r="AH11" s="91" t="s">
        <v>143</v>
      </c>
    </row>
    <row r="12" spans="1:35" x14ac:dyDescent="0.3">
      <c r="A12" s="140" t="s">
        <v>19</v>
      </c>
      <c r="B12" s="140"/>
      <c r="C12" s="140"/>
      <c r="D12" s="140"/>
      <c r="E12" s="140"/>
      <c r="F12" s="140"/>
      <c r="G12" s="141"/>
      <c r="H12" s="169"/>
      <c r="I12" s="170"/>
      <c r="J12" s="171" t="s">
        <v>2</v>
      </c>
      <c r="K12" s="172"/>
      <c r="L12" s="172"/>
      <c r="M12" s="172"/>
      <c r="N12" s="173"/>
      <c r="O12" s="174"/>
      <c r="P12" s="175"/>
      <c r="Q12" s="101"/>
      <c r="R12" s="101"/>
      <c r="S12" s="101"/>
      <c r="T12" s="149"/>
      <c r="U12" s="150"/>
      <c r="V12" s="150"/>
      <c r="W12" s="150"/>
      <c r="X12" s="150"/>
      <c r="Y12" s="150"/>
      <c r="Z12" s="150"/>
      <c r="AA12" s="150"/>
      <c r="AB12" s="150"/>
      <c r="AC12" s="150"/>
      <c r="AD12" s="151"/>
      <c r="AE12" s="66"/>
      <c r="AF12" s="91">
        <v>12</v>
      </c>
      <c r="AG12" s="91" t="s">
        <v>130</v>
      </c>
      <c r="AH12" s="91" t="s">
        <v>144</v>
      </c>
    </row>
    <row r="13" spans="1:35" x14ac:dyDescent="0.3">
      <c r="A13" s="103"/>
      <c r="B13" s="103"/>
      <c r="C13" s="103"/>
      <c r="D13" s="103"/>
      <c r="E13" s="103"/>
      <c r="F13" s="101"/>
      <c r="G13" s="101"/>
      <c r="H13" s="105"/>
      <c r="I13" s="105"/>
      <c r="J13" s="105"/>
      <c r="K13" s="105"/>
      <c r="L13" s="105"/>
      <c r="M13" s="105"/>
      <c r="N13" s="105"/>
      <c r="O13" s="105"/>
      <c r="P13" s="105"/>
      <c r="Q13" s="101"/>
      <c r="R13" s="101"/>
      <c r="S13" s="101"/>
      <c r="T13" s="149"/>
      <c r="U13" s="150"/>
      <c r="V13" s="150"/>
      <c r="W13" s="150"/>
      <c r="X13" s="150"/>
      <c r="Y13" s="150"/>
      <c r="Z13" s="150"/>
      <c r="AA13" s="150"/>
      <c r="AB13" s="150"/>
      <c r="AC13" s="150"/>
      <c r="AD13" s="151"/>
      <c r="AE13" s="66"/>
      <c r="AF13" s="91">
        <v>13</v>
      </c>
    </row>
    <row r="14" spans="1:35" x14ac:dyDescent="0.3">
      <c r="A14" s="140" t="s">
        <v>20</v>
      </c>
      <c r="B14" s="140"/>
      <c r="C14" s="140"/>
      <c r="D14" s="140"/>
      <c r="E14" s="140"/>
      <c r="F14" s="140"/>
      <c r="G14" s="141"/>
      <c r="H14" s="176" t="s">
        <v>78</v>
      </c>
      <c r="I14" s="177"/>
      <c r="J14" s="106" t="s">
        <v>3</v>
      </c>
      <c r="K14" s="178"/>
      <c r="L14" s="179"/>
      <c r="M14" s="179"/>
      <c r="N14" s="179"/>
      <c r="O14" s="179"/>
      <c r="P14" s="180"/>
      <c r="Q14" s="101"/>
      <c r="R14" s="101"/>
      <c r="S14" s="101"/>
      <c r="T14" s="149"/>
      <c r="U14" s="150"/>
      <c r="V14" s="150"/>
      <c r="W14" s="150"/>
      <c r="X14" s="150"/>
      <c r="Y14" s="150"/>
      <c r="Z14" s="150"/>
      <c r="AA14" s="150"/>
      <c r="AB14" s="150"/>
      <c r="AC14" s="150"/>
      <c r="AD14" s="151"/>
      <c r="AE14" s="66"/>
      <c r="AF14" s="91">
        <v>14</v>
      </c>
    </row>
    <row r="15" spans="1:35" x14ac:dyDescent="0.3">
      <c r="A15" s="103"/>
      <c r="B15" s="103"/>
      <c r="C15" s="103"/>
      <c r="D15" s="103"/>
      <c r="E15" s="103"/>
      <c r="F15" s="101"/>
      <c r="G15" s="101"/>
      <c r="H15" s="105"/>
      <c r="I15" s="105"/>
      <c r="J15" s="105"/>
      <c r="K15" s="105"/>
      <c r="L15" s="105"/>
      <c r="M15" s="105"/>
      <c r="N15" s="105"/>
      <c r="O15" s="105"/>
      <c r="P15" s="105"/>
      <c r="Q15" s="101"/>
      <c r="R15" s="101"/>
      <c r="S15" s="101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4"/>
      <c r="AE15" s="66"/>
      <c r="AF15" s="91">
        <v>15</v>
      </c>
    </row>
    <row r="16" spans="1:35" x14ac:dyDescent="0.3">
      <c r="A16" s="140" t="s">
        <v>58</v>
      </c>
      <c r="B16" s="140"/>
      <c r="C16" s="140"/>
      <c r="D16" s="140"/>
      <c r="E16" s="140"/>
      <c r="F16" s="140"/>
      <c r="G16" s="140"/>
      <c r="H16" s="155" t="s">
        <v>159</v>
      </c>
      <c r="I16" s="156"/>
      <c r="J16" s="156"/>
      <c r="K16" s="156"/>
      <c r="L16" s="156"/>
      <c r="M16" s="156"/>
      <c r="N16" s="156"/>
      <c r="O16" s="156"/>
      <c r="P16" s="157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66"/>
      <c r="AF16" s="91">
        <v>16</v>
      </c>
    </row>
    <row r="17" spans="1:33" x14ac:dyDescent="0.3">
      <c r="A17" s="103"/>
      <c r="B17" s="103"/>
      <c r="C17" s="103"/>
      <c r="D17" s="103"/>
      <c r="E17" s="103"/>
      <c r="F17" s="101"/>
      <c r="G17" s="101"/>
      <c r="H17" s="158"/>
      <c r="I17" s="159"/>
      <c r="J17" s="159"/>
      <c r="K17" s="159"/>
      <c r="L17" s="159"/>
      <c r="M17" s="159"/>
      <c r="N17" s="159"/>
      <c r="O17" s="159"/>
      <c r="P17" s="160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66"/>
      <c r="AF17" s="91">
        <v>17</v>
      </c>
    </row>
    <row r="18" spans="1:33" x14ac:dyDescent="0.3">
      <c r="A18" s="140" t="s">
        <v>59</v>
      </c>
      <c r="B18" s="140"/>
      <c r="C18" s="140"/>
      <c r="D18" s="140"/>
      <c r="E18" s="140"/>
      <c r="F18" s="140"/>
      <c r="G18" s="140"/>
      <c r="H18" s="161" t="s">
        <v>160</v>
      </c>
      <c r="I18" s="162"/>
      <c r="J18" s="162"/>
      <c r="K18" s="162"/>
      <c r="L18" s="162"/>
      <c r="M18" s="162"/>
      <c r="N18" s="162"/>
      <c r="O18" s="162"/>
      <c r="P18" s="163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66"/>
      <c r="AF18" s="91">
        <v>18</v>
      </c>
    </row>
    <row r="19" spans="1:33" ht="15.6" x14ac:dyDescent="0.3">
      <c r="A19" s="139" t="s">
        <v>131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62"/>
      <c r="AF19" s="91">
        <v>19</v>
      </c>
    </row>
    <row r="20" spans="1:33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61"/>
      <c r="AF20" s="91">
        <v>20</v>
      </c>
      <c r="AG20" s="92"/>
    </row>
    <row r="21" spans="1:33" x14ac:dyDescent="0.3">
      <c r="A21" s="164" t="s">
        <v>133</v>
      </c>
      <c r="B21" s="164"/>
      <c r="C21" s="164"/>
      <c r="D21" s="164"/>
      <c r="E21" s="164"/>
      <c r="F21" s="164"/>
      <c r="G21" s="164"/>
      <c r="H21" s="164"/>
      <c r="I21" s="164"/>
      <c r="J21" s="165"/>
      <c r="K21" s="165"/>
      <c r="L21" s="165"/>
      <c r="M21" s="165"/>
      <c r="N21" s="165"/>
      <c r="O21" s="165"/>
      <c r="P21" s="165"/>
      <c r="Q21" s="165"/>
      <c r="R21" s="165"/>
      <c r="S21" s="1" t="s">
        <v>134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67"/>
      <c r="AF21" s="91">
        <v>21</v>
      </c>
      <c r="AG21" s="92"/>
    </row>
    <row r="22" spans="1:33" x14ac:dyDescent="0.3">
      <c r="A22" s="164" t="s">
        <v>135</v>
      </c>
      <c r="B22" s="164"/>
      <c r="C22" s="164"/>
      <c r="D22" s="164"/>
      <c r="E22" s="164"/>
      <c r="F22" s="181">
        <f>H12</f>
        <v>0</v>
      </c>
      <c r="G22" s="181"/>
      <c r="H22" s="181"/>
      <c r="I22" s="181"/>
      <c r="J22" s="182" t="s">
        <v>136</v>
      </c>
      <c r="K22" s="182"/>
      <c r="L22" s="182"/>
      <c r="M22" s="182"/>
      <c r="N22" s="183">
        <v>6</v>
      </c>
      <c r="O22" s="183"/>
      <c r="P22" s="183"/>
      <c r="Q22" s="183"/>
      <c r="R22" s="1" t="s">
        <v>137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68"/>
      <c r="AF22" s="91">
        <v>22</v>
      </c>
      <c r="AG22" s="92"/>
    </row>
    <row r="23" spans="1:33" x14ac:dyDescent="0.3">
      <c r="A23" s="1" t="s">
        <v>138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68"/>
      <c r="AF23" s="91">
        <v>23</v>
      </c>
      <c r="AG23" s="92"/>
    </row>
    <row r="24" spans="1:33" x14ac:dyDescent="0.3">
      <c r="A24" s="51"/>
      <c r="B24" s="51"/>
      <c r="C24" s="51"/>
      <c r="D24" s="51"/>
      <c r="E24" s="51"/>
      <c r="F24" s="14"/>
      <c r="G24" s="14"/>
      <c r="H24" s="19"/>
      <c r="I24" s="19"/>
      <c r="J24" s="19"/>
      <c r="K24" s="19"/>
      <c r="L24" s="19"/>
      <c r="M24" s="19"/>
      <c r="N24" s="19"/>
      <c r="O24" s="19"/>
      <c r="P24" s="19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66"/>
      <c r="AF24" s="91">
        <v>24</v>
      </c>
    </row>
    <row r="25" spans="1:33" ht="15.6" x14ac:dyDescent="0.3">
      <c r="A25" s="139" t="s">
        <v>22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62"/>
      <c r="AF25" s="91">
        <v>25</v>
      </c>
    </row>
    <row r="26" spans="1:33" x14ac:dyDescent="0.3">
      <c r="A26" s="184" t="s">
        <v>60</v>
      </c>
      <c r="B26" s="184"/>
      <c r="C26" s="184"/>
      <c r="D26" s="184"/>
      <c r="E26" s="185"/>
      <c r="F26" s="186"/>
      <c r="G26" s="187"/>
      <c r="H26" s="187"/>
      <c r="I26" s="187"/>
      <c r="J26" s="187"/>
      <c r="K26" s="187"/>
      <c r="L26" s="187"/>
      <c r="M26" s="187"/>
      <c r="N26" s="188"/>
      <c r="O26" s="189" t="s">
        <v>4</v>
      </c>
      <c r="P26" s="190"/>
      <c r="Q26" s="191" t="s">
        <v>75</v>
      </c>
      <c r="R26" s="192"/>
      <c r="S26" s="192"/>
      <c r="T26" s="192"/>
      <c r="U26" s="192"/>
      <c r="V26" s="192"/>
      <c r="W26" s="193"/>
      <c r="X26" s="189" t="s">
        <v>5</v>
      </c>
      <c r="Y26" s="194"/>
      <c r="Z26" s="205" t="s">
        <v>146</v>
      </c>
      <c r="AA26" s="206"/>
      <c r="AB26" s="206"/>
      <c r="AC26" s="206"/>
      <c r="AD26" s="207"/>
      <c r="AE26" s="67"/>
      <c r="AF26" s="91">
        <v>26</v>
      </c>
      <c r="AG26" s="92"/>
    </row>
    <row r="27" spans="1:33" x14ac:dyDescent="0.3">
      <c r="A27" s="107"/>
      <c r="B27" s="107"/>
      <c r="C27" s="108"/>
      <c r="D27" s="108"/>
      <c r="E27" s="108"/>
      <c r="F27" s="108"/>
      <c r="G27" s="108"/>
      <c r="H27" s="108"/>
      <c r="I27" s="108"/>
      <c r="J27" s="109"/>
      <c r="K27" s="109"/>
      <c r="L27" s="109"/>
      <c r="M27" s="109"/>
      <c r="N27" s="109"/>
      <c r="O27" s="108"/>
      <c r="P27" s="108"/>
      <c r="Q27" s="108"/>
      <c r="R27" s="109"/>
      <c r="S27" s="109"/>
      <c r="T27" s="109"/>
      <c r="U27" s="109"/>
      <c r="V27" s="109"/>
      <c r="W27" s="110"/>
      <c r="X27" s="110"/>
      <c r="Y27" s="110"/>
      <c r="Z27" s="109"/>
      <c r="AA27" s="109"/>
      <c r="AB27" s="109"/>
      <c r="AC27" s="109"/>
      <c r="AD27" s="109"/>
      <c r="AE27" s="68"/>
      <c r="AF27" s="91">
        <v>27</v>
      </c>
      <c r="AG27" s="92"/>
    </row>
    <row r="28" spans="1:33" x14ac:dyDescent="0.3">
      <c r="A28" s="184" t="s">
        <v>62</v>
      </c>
      <c r="B28" s="184"/>
      <c r="C28" s="184"/>
      <c r="D28" s="184"/>
      <c r="E28" s="184"/>
      <c r="F28" s="184"/>
      <c r="G28" s="184"/>
      <c r="H28" s="185"/>
      <c r="I28" s="196"/>
      <c r="J28" s="197"/>
      <c r="K28" s="197"/>
      <c r="L28" s="198"/>
      <c r="M28" s="111"/>
      <c r="N28" s="111"/>
      <c r="O28" s="111"/>
      <c r="P28" s="111"/>
      <c r="Q28" s="145" t="s">
        <v>8</v>
      </c>
      <c r="R28" s="145"/>
      <c r="S28" s="145"/>
      <c r="T28" s="208"/>
      <c r="U28" s="209">
        <v>6</v>
      </c>
      <c r="V28" s="210"/>
      <c r="W28" s="171" t="s">
        <v>39</v>
      </c>
      <c r="X28" s="172"/>
      <c r="Y28" s="26">
        <v>0</v>
      </c>
      <c r="Z28" s="103" t="s">
        <v>40</v>
      </c>
      <c r="AA28" s="100"/>
      <c r="AB28" s="112"/>
      <c r="AC28" s="112"/>
      <c r="AD28" s="109"/>
      <c r="AE28" s="68"/>
      <c r="AF28" s="91">
        <v>28</v>
      </c>
      <c r="AG28" s="92"/>
    </row>
    <row r="29" spans="1:33" x14ac:dyDescent="0.3">
      <c r="A29" s="107"/>
      <c r="B29" s="107"/>
      <c r="C29" s="108"/>
      <c r="D29" s="108"/>
      <c r="E29" s="113"/>
      <c r="F29" s="114"/>
      <c r="G29" s="195"/>
      <c r="H29" s="195"/>
      <c r="I29" s="109"/>
      <c r="J29" s="101"/>
      <c r="K29" s="101"/>
      <c r="L29" s="112"/>
      <c r="M29" s="101"/>
      <c r="N29" s="115"/>
      <c r="O29" s="115"/>
      <c r="P29" s="115"/>
      <c r="Q29" s="103"/>
      <c r="R29" s="100"/>
      <c r="S29" s="100" t="s">
        <v>97</v>
      </c>
      <c r="T29" s="100"/>
      <c r="U29" s="100"/>
      <c r="V29" s="100"/>
      <c r="W29" s="116"/>
      <c r="X29" s="116"/>
      <c r="Y29" s="112"/>
      <c r="Z29" s="112"/>
      <c r="AA29" s="112"/>
      <c r="AB29" s="112"/>
      <c r="AC29" s="112"/>
      <c r="AD29" s="109"/>
      <c r="AE29" s="61"/>
      <c r="AF29" s="91">
        <v>29</v>
      </c>
      <c r="AG29" s="92"/>
    </row>
    <row r="30" spans="1:33" x14ac:dyDescent="0.3">
      <c r="A30" s="184" t="s">
        <v>63</v>
      </c>
      <c r="B30" s="184"/>
      <c r="C30" s="184"/>
      <c r="D30" s="184"/>
      <c r="E30" s="184"/>
      <c r="F30" s="184"/>
      <c r="G30" s="184"/>
      <c r="H30" s="185"/>
      <c r="I30" s="196"/>
      <c r="J30" s="197"/>
      <c r="K30" s="197"/>
      <c r="L30" s="198"/>
      <c r="M30" s="111"/>
      <c r="N30" s="111"/>
      <c r="O30" s="111"/>
      <c r="P30" s="111"/>
      <c r="Q30" s="111"/>
      <c r="R30" s="101"/>
      <c r="S30" s="117"/>
      <c r="T30" s="117"/>
      <c r="U30" s="117"/>
      <c r="V30" s="117"/>
      <c r="W30" s="116"/>
      <c r="X30" s="116"/>
      <c r="Y30" s="112"/>
      <c r="Z30" s="112"/>
      <c r="AA30" s="112"/>
      <c r="AB30" s="112"/>
      <c r="AC30" s="112"/>
      <c r="AD30" s="109"/>
      <c r="AE30" s="61"/>
      <c r="AF30" s="91">
        <v>30</v>
      </c>
      <c r="AG30" s="92"/>
    </row>
    <row r="31" spans="1:33" ht="15" thickBot="1" x14ac:dyDescent="0.35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1"/>
      <c r="S31" s="117"/>
      <c r="T31" s="117"/>
      <c r="U31" s="117"/>
      <c r="V31" s="117"/>
      <c r="W31" s="116"/>
      <c r="X31" s="116"/>
      <c r="Y31" s="112"/>
      <c r="Z31" s="112"/>
      <c r="AA31" s="112"/>
      <c r="AB31" s="112"/>
      <c r="AC31" s="112"/>
      <c r="AD31" s="112"/>
      <c r="AE31" s="66"/>
      <c r="AF31" s="91">
        <v>31</v>
      </c>
      <c r="AG31" s="92"/>
    </row>
    <row r="32" spans="1:33" ht="15" thickTop="1" x14ac:dyDescent="0.3">
      <c r="A32" s="199" t="s">
        <v>150</v>
      </c>
      <c r="B32" s="200"/>
      <c r="C32" s="200"/>
      <c r="D32" s="200"/>
      <c r="E32" s="201"/>
      <c r="F32" s="201"/>
      <c r="G32" s="201"/>
      <c r="H32" s="202"/>
      <c r="I32" s="100"/>
      <c r="J32" s="100"/>
      <c r="K32" s="100"/>
      <c r="L32" s="203" t="s">
        <v>41</v>
      </c>
      <c r="M32" s="204"/>
      <c r="N32" s="204"/>
      <c r="O32" s="204"/>
      <c r="P32" s="225" t="s">
        <v>21</v>
      </c>
      <c r="Q32" s="225"/>
      <c r="R32" s="225"/>
      <c r="S32" s="226"/>
      <c r="T32" s="100"/>
      <c r="U32" s="117"/>
      <c r="V32" s="117"/>
      <c r="W32" s="117"/>
      <c r="X32" s="117"/>
      <c r="Y32" s="117"/>
      <c r="Z32" s="117"/>
      <c r="AA32" s="117"/>
      <c r="AB32" s="117"/>
      <c r="AC32" s="100"/>
      <c r="AD32" s="100"/>
      <c r="AE32" s="64"/>
      <c r="AG32" s="92"/>
    </row>
    <row r="33" spans="1:35" x14ac:dyDescent="0.3">
      <c r="A33" s="211" t="s">
        <v>79</v>
      </c>
      <c r="B33" s="212"/>
      <c r="C33" s="212"/>
      <c r="D33" s="212"/>
      <c r="E33" s="213">
        <v>0</v>
      </c>
      <c r="F33" s="213"/>
      <c r="G33" s="213"/>
      <c r="H33" s="214"/>
      <c r="I33" s="100"/>
      <c r="J33" s="100"/>
      <c r="K33" s="100"/>
      <c r="L33" s="215" t="s">
        <v>31</v>
      </c>
      <c r="M33" s="216"/>
      <c r="N33" s="216"/>
      <c r="O33" s="217"/>
      <c r="P33" s="213"/>
      <c r="Q33" s="213"/>
      <c r="R33" s="213"/>
      <c r="S33" s="214"/>
      <c r="T33" s="100"/>
      <c r="U33" s="117"/>
      <c r="V33" s="117"/>
      <c r="W33" s="117"/>
      <c r="X33" s="117"/>
      <c r="Y33" s="117"/>
      <c r="Z33" s="117"/>
      <c r="AA33" s="117"/>
      <c r="AB33" s="117"/>
      <c r="AC33" s="100"/>
      <c r="AD33" s="100"/>
      <c r="AE33" s="64"/>
      <c r="AG33" s="92"/>
    </row>
    <row r="34" spans="1:35" x14ac:dyDescent="0.3">
      <c r="A34" s="211" t="s">
        <v>6</v>
      </c>
      <c r="B34" s="212"/>
      <c r="C34" s="212"/>
      <c r="D34" s="212"/>
      <c r="E34" s="213">
        <v>0</v>
      </c>
      <c r="F34" s="213"/>
      <c r="G34" s="213"/>
      <c r="H34" s="214"/>
      <c r="I34" s="100"/>
      <c r="J34" s="100"/>
      <c r="K34" s="100"/>
      <c r="L34" s="215" t="s">
        <v>35</v>
      </c>
      <c r="M34" s="216"/>
      <c r="N34" s="216"/>
      <c r="O34" s="217"/>
      <c r="P34" s="213"/>
      <c r="Q34" s="213"/>
      <c r="R34" s="213"/>
      <c r="S34" s="214"/>
      <c r="T34" s="100"/>
      <c r="U34" s="117"/>
      <c r="V34" s="117"/>
      <c r="W34" s="117"/>
      <c r="X34" s="117"/>
      <c r="Y34" s="117"/>
      <c r="Z34" s="117"/>
      <c r="AA34" s="117"/>
      <c r="AB34" s="117"/>
      <c r="AC34" s="100"/>
      <c r="AD34" s="100"/>
      <c r="AE34" s="64"/>
      <c r="AG34" s="92"/>
    </row>
    <row r="35" spans="1:35" x14ac:dyDescent="0.3">
      <c r="A35" s="211" t="s">
        <v>37</v>
      </c>
      <c r="B35" s="212"/>
      <c r="C35" s="212"/>
      <c r="D35" s="212"/>
      <c r="E35" s="213"/>
      <c r="F35" s="213"/>
      <c r="G35" s="213"/>
      <c r="H35" s="214"/>
      <c r="I35" s="112"/>
      <c r="J35" s="100"/>
      <c r="K35" s="100"/>
      <c r="L35" s="215" t="s">
        <v>36</v>
      </c>
      <c r="M35" s="216"/>
      <c r="N35" s="216"/>
      <c r="O35" s="217"/>
      <c r="P35" s="213"/>
      <c r="Q35" s="213"/>
      <c r="R35" s="213"/>
      <c r="S35" s="214"/>
      <c r="T35" s="100"/>
      <c r="U35" s="117"/>
      <c r="V35" s="117"/>
      <c r="W35" s="117"/>
      <c r="X35" s="117"/>
      <c r="Y35" s="117"/>
      <c r="Z35" s="117"/>
      <c r="AA35" s="117"/>
      <c r="AB35" s="117"/>
      <c r="AC35" s="100"/>
      <c r="AD35" s="100"/>
      <c r="AE35" s="64"/>
      <c r="AG35" s="92"/>
    </row>
    <row r="36" spans="1:35" ht="15" thickBot="1" x14ac:dyDescent="0.35">
      <c r="A36" s="218" t="s">
        <v>151</v>
      </c>
      <c r="B36" s="219"/>
      <c r="C36" s="219"/>
      <c r="D36" s="219"/>
      <c r="E36" s="220">
        <f>SUM(E32:H35)</f>
        <v>0</v>
      </c>
      <c r="F36" s="221"/>
      <c r="G36" s="221"/>
      <c r="H36" s="222"/>
      <c r="I36" s="101"/>
      <c r="J36" s="100"/>
      <c r="K36" s="100"/>
      <c r="L36" s="218"/>
      <c r="M36" s="219"/>
      <c r="N36" s="219"/>
      <c r="O36" s="219"/>
      <c r="P36" s="223"/>
      <c r="Q36" s="223"/>
      <c r="R36" s="223"/>
      <c r="S36" s="224"/>
      <c r="T36" s="100"/>
      <c r="U36" s="117"/>
      <c r="V36" s="117"/>
      <c r="W36" s="117"/>
      <c r="X36" s="117"/>
      <c r="Y36" s="117"/>
      <c r="Z36" s="117"/>
      <c r="AA36" s="117"/>
      <c r="AB36" s="117"/>
      <c r="AC36" s="100"/>
      <c r="AD36" s="100"/>
      <c r="AE36" s="64"/>
      <c r="AG36" s="92"/>
    </row>
    <row r="37" spans="1:35" ht="15" thickTop="1" x14ac:dyDescent="0.3">
      <c r="A37" s="103"/>
      <c r="B37" s="103"/>
      <c r="C37" s="101"/>
      <c r="D37" s="101"/>
      <c r="E37" s="117"/>
      <c r="F37" s="117"/>
      <c r="G37" s="117"/>
      <c r="H37" s="117"/>
      <c r="I37" s="101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64"/>
    </row>
    <row r="38" spans="1:35" ht="15.6" x14ac:dyDescent="0.3">
      <c r="A38" s="227" t="s">
        <v>23</v>
      </c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62"/>
    </row>
    <row r="39" spans="1:35" ht="2.25" customHeight="1" thickBot="1" x14ac:dyDescent="0.35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 t="s">
        <v>97</v>
      </c>
      <c r="T39" s="100"/>
      <c r="U39" s="100"/>
      <c r="V39" s="100"/>
      <c r="W39" s="100"/>
      <c r="X39" s="100"/>
      <c r="Y39" s="100"/>
      <c r="Z39" s="100"/>
      <c r="AA39" s="100"/>
      <c r="AB39" s="100"/>
      <c r="AC39" s="112"/>
      <c r="AD39" s="112"/>
      <c r="AE39" s="66"/>
    </row>
    <row r="40" spans="1:35" ht="45.75" customHeight="1" thickTop="1" x14ac:dyDescent="0.3">
      <c r="A40" s="100"/>
      <c r="B40" s="228"/>
      <c r="C40" s="231" t="s">
        <v>42</v>
      </c>
      <c r="D40" s="231"/>
      <c r="E40" s="231"/>
      <c r="F40" s="231"/>
      <c r="G40" s="232"/>
      <c r="H40" s="231" t="s">
        <v>43</v>
      </c>
      <c r="I40" s="231"/>
      <c r="J40" s="231"/>
      <c r="K40" s="232"/>
      <c r="L40" s="231" t="s">
        <v>44</v>
      </c>
      <c r="M40" s="231"/>
      <c r="N40" s="231"/>
      <c r="O40" s="231"/>
      <c r="P40" s="235"/>
      <c r="Q40" s="231" t="s">
        <v>45</v>
      </c>
      <c r="R40" s="231"/>
      <c r="S40" s="231"/>
      <c r="T40" s="231"/>
      <c r="U40" s="231"/>
      <c r="V40" s="231"/>
      <c r="W40" s="235"/>
      <c r="X40" s="241" t="s">
        <v>64</v>
      </c>
      <c r="Y40" s="241"/>
      <c r="Z40" s="241"/>
      <c r="AA40" s="241"/>
      <c r="AB40" s="242"/>
      <c r="AC40" s="112"/>
      <c r="AD40" s="112"/>
      <c r="AE40" s="66"/>
    </row>
    <row r="41" spans="1:35" s="132" customFormat="1" x14ac:dyDescent="0.3">
      <c r="A41" s="100"/>
      <c r="B41" s="229"/>
      <c r="C41" s="245"/>
      <c r="D41" s="245"/>
      <c r="E41" s="245"/>
      <c r="F41" s="245"/>
      <c r="G41" s="233"/>
      <c r="H41" s="246"/>
      <c r="I41" s="246"/>
      <c r="J41" s="246"/>
      <c r="K41" s="233"/>
      <c r="L41" s="247"/>
      <c r="M41" s="248"/>
      <c r="N41" s="248"/>
      <c r="O41" s="249"/>
      <c r="P41" s="236"/>
      <c r="Q41" s="250"/>
      <c r="R41" s="250"/>
      <c r="S41" s="250"/>
      <c r="T41" s="250"/>
      <c r="U41" s="250"/>
      <c r="V41" s="250"/>
      <c r="W41" s="236"/>
      <c r="X41" s="251"/>
      <c r="Y41" s="251"/>
      <c r="Z41" s="251"/>
      <c r="AA41" s="251"/>
      <c r="AB41" s="243"/>
      <c r="AC41" s="112"/>
      <c r="AD41" s="112"/>
      <c r="AE41" s="66"/>
      <c r="AF41" s="3"/>
      <c r="AG41" s="131"/>
      <c r="AH41" s="3"/>
      <c r="AI41" s="16"/>
    </row>
    <row r="42" spans="1:35" x14ac:dyDescent="0.3">
      <c r="A42" s="100"/>
      <c r="B42" s="229"/>
      <c r="C42" s="252"/>
      <c r="D42" s="253"/>
      <c r="E42" s="253"/>
      <c r="F42" s="254"/>
      <c r="G42" s="233"/>
      <c r="H42" s="255"/>
      <c r="I42" s="256"/>
      <c r="J42" s="257"/>
      <c r="K42" s="233"/>
      <c r="L42" s="247"/>
      <c r="M42" s="248"/>
      <c r="N42" s="248"/>
      <c r="O42" s="249"/>
      <c r="P42" s="236"/>
      <c r="Q42" s="250"/>
      <c r="R42" s="250"/>
      <c r="S42" s="250"/>
      <c r="T42" s="250"/>
      <c r="U42" s="250"/>
      <c r="V42" s="250"/>
      <c r="W42" s="236"/>
      <c r="X42" s="238"/>
      <c r="Y42" s="239"/>
      <c r="Z42" s="239"/>
      <c r="AA42" s="240"/>
      <c r="AB42" s="243"/>
      <c r="AC42" s="112"/>
      <c r="AD42" s="112"/>
      <c r="AE42" s="66"/>
      <c r="AG42" s="92"/>
      <c r="AI42" s="81"/>
    </row>
    <row r="43" spans="1:35" x14ac:dyDescent="0.3">
      <c r="A43" s="100"/>
      <c r="B43" s="229"/>
      <c r="C43" s="233"/>
      <c r="D43" s="233"/>
      <c r="E43" s="233"/>
      <c r="F43" s="233"/>
      <c r="G43" s="233"/>
      <c r="H43" s="246"/>
      <c r="I43" s="246"/>
      <c r="J43" s="246"/>
      <c r="K43" s="233"/>
      <c r="L43" s="247"/>
      <c r="M43" s="248"/>
      <c r="N43" s="248"/>
      <c r="O43" s="249"/>
      <c r="P43" s="236"/>
      <c r="Q43" s="258"/>
      <c r="R43" s="258"/>
      <c r="S43" s="258"/>
      <c r="T43" s="258"/>
      <c r="U43" s="258"/>
      <c r="V43" s="258"/>
      <c r="W43" s="236"/>
      <c r="X43" s="251"/>
      <c r="Y43" s="251"/>
      <c r="Z43" s="251"/>
      <c r="AA43" s="251"/>
      <c r="AB43" s="243"/>
      <c r="AC43" s="112"/>
      <c r="AD43" s="112"/>
      <c r="AE43" s="66"/>
      <c r="AG43" s="92"/>
      <c r="AI43" s="85"/>
    </row>
    <row r="44" spans="1:35" ht="15" thickBot="1" x14ac:dyDescent="0.35">
      <c r="A44" s="100"/>
      <c r="B44" s="230"/>
      <c r="C44" s="234"/>
      <c r="D44" s="234"/>
      <c r="E44" s="234"/>
      <c r="F44" s="234"/>
      <c r="G44" s="234"/>
      <c r="H44" s="259"/>
      <c r="I44" s="259"/>
      <c r="J44" s="259"/>
      <c r="K44" s="234"/>
      <c r="L44" s="260"/>
      <c r="M44" s="261"/>
      <c r="N44" s="261"/>
      <c r="O44" s="262"/>
      <c r="P44" s="237"/>
      <c r="Q44" s="263"/>
      <c r="R44" s="263"/>
      <c r="S44" s="263"/>
      <c r="T44" s="263"/>
      <c r="U44" s="263"/>
      <c r="V44" s="263"/>
      <c r="W44" s="237"/>
      <c r="X44" s="264"/>
      <c r="Y44" s="264"/>
      <c r="Z44" s="264"/>
      <c r="AA44" s="264"/>
      <c r="AB44" s="244"/>
      <c r="AC44" s="101"/>
      <c r="AD44" s="112"/>
      <c r="AE44" s="66"/>
      <c r="AI44" s="85"/>
    </row>
    <row r="45" spans="1:35" ht="10.5" customHeight="1" thickTop="1" x14ac:dyDescent="0.3">
      <c r="A45" s="100"/>
      <c r="B45" s="103"/>
      <c r="C45" s="101"/>
      <c r="D45" s="118"/>
      <c r="E45" s="119"/>
      <c r="F45" s="119"/>
      <c r="G45" s="119"/>
      <c r="H45" s="118"/>
      <c r="I45" s="119"/>
      <c r="J45" s="119"/>
      <c r="K45" s="119"/>
      <c r="L45" s="118"/>
      <c r="M45" s="119"/>
      <c r="N45" s="119"/>
      <c r="O45" s="119"/>
      <c r="P45" s="119"/>
      <c r="Q45" s="119"/>
      <c r="R45" s="120"/>
      <c r="S45" s="120"/>
      <c r="T45" s="120"/>
      <c r="U45" s="120"/>
      <c r="V45" s="120"/>
      <c r="W45" s="120"/>
      <c r="X45" s="120"/>
      <c r="Y45" s="120"/>
      <c r="Z45" s="119"/>
      <c r="AA45" s="100"/>
      <c r="AB45" s="100"/>
      <c r="AC45" s="101"/>
      <c r="AD45" s="112"/>
      <c r="AE45" s="66"/>
      <c r="AI45" s="81"/>
    </row>
    <row r="46" spans="1:35" ht="15.6" x14ac:dyDescent="0.3">
      <c r="A46" s="227" t="s">
        <v>46</v>
      </c>
      <c r="B46" s="227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62"/>
    </row>
    <row r="47" spans="1:35" ht="15" thickBot="1" x14ac:dyDescent="0.35">
      <c r="A47" s="103"/>
      <c r="B47" s="103"/>
      <c r="C47" s="101"/>
      <c r="D47" s="101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1"/>
      <c r="AD47" s="112"/>
      <c r="AE47" s="66"/>
      <c r="AG47" s="93"/>
    </row>
    <row r="48" spans="1:35" ht="15.6" thickTop="1" thickBot="1" x14ac:dyDescent="0.35">
      <c r="A48" s="100"/>
      <c r="B48" s="100"/>
      <c r="C48" s="100"/>
      <c r="D48" s="265" t="s">
        <v>70</v>
      </c>
      <c r="E48" s="266"/>
      <c r="F48" s="267"/>
      <c r="G48" s="267"/>
      <c r="H48" s="267"/>
      <c r="I48" s="267"/>
      <c r="J48" s="268"/>
      <c r="K48" s="271" t="s">
        <v>24</v>
      </c>
      <c r="L48" s="272"/>
      <c r="M48" s="266"/>
      <c r="N48" s="267"/>
      <c r="O48" s="267"/>
      <c r="P48" s="267"/>
      <c r="Q48" s="267"/>
      <c r="R48" s="273"/>
      <c r="S48" s="276" t="s">
        <v>25</v>
      </c>
      <c r="T48" s="276"/>
      <c r="U48" s="276"/>
      <c r="V48" s="276"/>
      <c r="W48" s="277"/>
      <c r="X48" s="277"/>
      <c r="Y48" s="277"/>
      <c r="Z48" s="278"/>
      <c r="AA48" s="101"/>
      <c r="AB48" s="101"/>
      <c r="AC48" s="101"/>
      <c r="AD48" s="112"/>
      <c r="AE48" s="66"/>
      <c r="AG48" s="93"/>
    </row>
    <row r="49" spans="1:35" ht="15.6" thickTop="1" thickBot="1" x14ac:dyDescent="0.35">
      <c r="A49" s="100"/>
      <c r="B49" s="100"/>
      <c r="C49" s="100"/>
      <c r="D49" s="279" t="s">
        <v>69</v>
      </c>
      <c r="E49" s="280"/>
      <c r="F49" s="281"/>
      <c r="G49" s="281"/>
      <c r="H49" s="281"/>
      <c r="I49" s="281"/>
      <c r="J49" s="269"/>
      <c r="K49" s="282" t="s">
        <v>26</v>
      </c>
      <c r="L49" s="283"/>
      <c r="M49" s="280"/>
      <c r="N49" s="281"/>
      <c r="O49" s="281"/>
      <c r="P49" s="281"/>
      <c r="Q49" s="281"/>
      <c r="R49" s="274"/>
      <c r="S49" s="284" t="s">
        <v>25</v>
      </c>
      <c r="T49" s="284"/>
      <c r="U49" s="284"/>
      <c r="V49" s="284"/>
      <c r="W49" s="277"/>
      <c r="X49" s="277"/>
      <c r="Y49" s="277"/>
      <c r="Z49" s="278"/>
      <c r="AA49" s="101"/>
      <c r="AB49" s="101"/>
      <c r="AC49" s="101"/>
      <c r="AD49" s="112"/>
      <c r="AE49" s="66"/>
    </row>
    <row r="50" spans="1:35" ht="15.6" thickTop="1" thickBot="1" x14ac:dyDescent="0.35">
      <c r="A50" s="100"/>
      <c r="B50" s="100"/>
      <c r="C50" s="100"/>
      <c r="D50" s="285" t="s">
        <v>67</v>
      </c>
      <c r="E50" s="286"/>
      <c r="F50" s="287"/>
      <c r="G50" s="287"/>
      <c r="H50" s="287"/>
      <c r="I50" s="287"/>
      <c r="J50" s="270"/>
      <c r="K50" s="288" t="s">
        <v>68</v>
      </c>
      <c r="L50" s="289"/>
      <c r="M50" s="286"/>
      <c r="N50" s="290"/>
      <c r="O50" s="290"/>
      <c r="P50" s="290"/>
      <c r="Q50" s="290"/>
      <c r="R50" s="275"/>
      <c r="S50" s="291" t="s">
        <v>25</v>
      </c>
      <c r="T50" s="291"/>
      <c r="U50" s="291"/>
      <c r="V50" s="291"/>
      <c r="W50" s="277"/>
      <c r="X50" s="277"/>
      <c r="Y50" s="277"/>
      <c r="Z50" s="278"/>
      <c r="AA50" s="101"/>
      <c r="AB50" s="101"/>
      <c r="AC50" s="101"/>
      <c r="AD50" s="112"/>
      <c r="AE50" s="66"/>
    </row>
    <row r="51" spans="1:35" ht="15" thickTop="1" x14ac:dyDescent="0.3">
      <c r="A51" s="269" t="s">
        <v>47</v>
      </c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  <c r="AC51" s="269"/>
      <c r="AD51" s="269"/>
      <c r="AE51" s="66"/>
    </row>
    <row r="52" spans="1:35" ht="8.25" customHeight="1" x14ac:dyDescent="0.3">
      <c r="A52" s="103"/>
      <c r="B52" s="103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66"/>
    </row>
    <row r="53" spans="1:35" ht="15.6" x14ac:dyDescent="0.3">
      <c r="A53" s="292" t="s">
        <v>48</v>
      </c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2"/>
      <c r="AA53" s="292"/>
      <c r="AB53" s="292"/>
      <c r="AC53" s="292"/>
      <c r="AD53" s="292"/>
      <c r="AE53" s="61"/>
    </row>
    <row r="54" spans="1:35" x14ac:dyDescent="0.3">
      <c r="A54" s="101"/>
      <c r="B54" s="293"/>
      <c r="C54" s="293"/>
      <c r="D54" s="293"/>
      <c r="E54" s="293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  <c r="AA54" s="293"/>
      <c r="AB54" s="293"/>
      <c r="AC54" s="101"/>
      <c r="AD54" s="108"/>
      <c r="AE54" s="61"/>
      <c r="AF54" s="94"/>
    </row>
    <row r="55" spans="1:35" x14ac:dyDescent="0.3">
      <c r="A55" s="124"/>
      <c r="B55" s="294" t="s">
        <v>49</v>
      </c>
      <c r="C55" s="295"/>
      <c r="D55" s="298" t="s">
        <v>50</v>
      </c>
      <c r="E55" s="299"/>
      <c r="F55" s="299"/>
      <c r="G55" s="299"/>
      <c r="H55" s="299"/>
      <c r="I55" s="300"/>
      <c r="J55" s="294" t="s">
        <v>51</v>
      </c>
      <c r="K55" s="301"/>
      <c r="L55" s="295"/>
      <c r="M55" s="294" t="s">
        <v>32</v>
      </c>
      <c r="N55" s="301"/>
      <c r="O55" s="295"/>
      <c r="P55" s="294" t="s">
        <v>52</v>
      </c>
      <c r="Q55" s="301"/>
      <c r="R55" s="295"/>
      <c r="S55" s="294" t="s">
        <v>9</v>
      </c>
      <c r="T55" s="301"/>
      <c r="U55" s="295"/>
      <c r="V55" s="294" t="s">
        <v>10</v>
      </c>
      <c r="W55" s="301"/>
      <c r="X55" s="301"/>
      <c r="Y55" s="295"/>
      <c r="Z55" s="294" t="s">
        <v>11</v>
      </c>
      <c r="AA55" s="301"/>
      <c r="AB55" s="295"/>
      <c r="AC55" s="124"/>
      <c r="AD55" s="108"/>
      <c r="AE55" s="61"/>
      <c r="AF55" s="94"/>
      <c r="AG55" s="94"/>
      <c r="AI55" s="86"/>
    </row>
    <row r="56" spans="1:35" x14ac:dyDescent="0.3">
      <c r="A56" s="124"/>
      <c r="B56" s="296"/>
      <c r="C56" s="297"/>
      <c r="D56" s="303" t="s">
        <v>16</v>
      </c>
      <c r="E56" s="304"/>
      <c r="F56" s="305"/>
      <c r="G56" s="303" t="s">
        <v>17</v>
      </c>
      <c r="H56" s="304"/>
      <c r="I56" s="305"/>
      <c r="J56" s="296"/>
      <c r="K56" s="302"/>
      <c r="L56" s="297"/>
      <c r="M56" s="296"/>
      <c r="N56" s="302"/>
      <c r="O56" s="297"/>
      <c r="P56" s="296"/>
      <c r="Q56" s="302"/>
      <c r="R56" s="297"/>
      <c r="S56" s="296"/>
      <c r="T56" s="302"/>
      <c r="U56" s="297"/>
      <c r="V56" s="296"/>
      <c r="W56" s="302"/>
      <c r="X56" s="302"/>
      <c r="Y56" s="297"/>
      <c r="Z56" s="296"/>
      <c r="AA56" s="302"/>
      <c r="AB56" s="297"/>
      <c r="AC56" s="124"/>
      <c r="AD56" s="108"/>
      <c r="AE56" s="61"/>
      <c r="AF56" s="94"/>
      <c r="AG56" s="94"/>
      <c r="AH56" s="94"/>
    </row>
    <row r="57" spans="1:35" x14ac:dyDescent="0.3">
      <c r="A57" s="124"/>
      <c r="B57" s="329"/>
      <c r="C57" s="330"/>
      <c r="D57" s="331"/>
      <c r="E57" s="332"/>
      <c r="F57" s="333"/>
      <c r="G57" s="331"/>
      <c r="H57" s="332"/>
      <c r="I57" s="333"/>
      <c r="J57" s="334"/>
      <c r="K57" s="335"/>
      <c r="L57" s="336"/>
      <c r="M57" s="310"/>
      <c r="N57" s="337"/>
      <c r="O57" s="338"/>
      <c r="P57" s="310"/>
      <c r="Q57" s="311"/>
      <c r="R57" s="312"/>
      <c r="S57" s="310"/>
      <c r="T57" s="311"/>
      <c r="U57" s="312"/>
      <c r="V57" s="313"/>
      <c r="W57" s="314"/>
      <c r="X57" s="314"/>
      <c r="Y57" s="315"/>
      <c r="Z57" s="313"/>
      <c r="AA57" s="314"/>
      <c r="AB57" s="315"/>
      <c r="AC57" s="124"/>
      <c r="AD57" s="108"/>
      <c r="AE57" s="61"/>
      <c r="AF57" s="94"/>
      <c r="AG57" s="95"/>
      <c r="AH57" s="94"/>
      <c r="AI57" s="39"/>
    </row>
    <row r="58" spans="1:35" x14ac:dyDescent="0.3">
      <c r="A58" s="124"/>
      <c r="B58" s="316" t="s">
        <v>158</v>
      </c>
      <c r="C58" s="317"/>
      <c r="D58" s="317"/>
      <c r="E58" s="317"/>
      <c r="F58" s="317"/>
      <c r="G58" s="317"/>
      <c r="H58" s="317"/>
      <c r="I58" s="317"/>
      <c r="J58" s="317"/>
      <c r="K58" s="317"/>
      <c r="L58" s="317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  <c r="AA58" s="317"/>
      <c r="AB58" s="318"/>
      <c r="AC58" s="124"/>
      <c r="AD58" s="108"/>
      <c r="AE58" s="61"/>
      <c r="AG58" s="94"/>
      <c r="AH58" s="94"/>
      <c r="AI58" s="39"/>
    </row>
    <row r="59" spans="1:35" x14ac:dyDescent="0.3">
      <c r="A59" s="101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01"/>
      <c r="AD59" s="108"/>
      <c r="AE59" s="61"/>
      <c r="AH59" s="94"/>
      <c r="AI59" s="39"/>
    </row>
    <row r="60" spans="1:35" x14ac:dyDescent="0.3">
      <c r="A60" s="108"/>
      <c r="B60" s="319"/>
      <c r="C60" s="320"/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108"/>
      <c r="AD60" s="108"/>
      <c r="AE60" s="61"/>
      <c r="AI60" s="39"/>
    </row>
    <row r="61" spans="1:35" x14ac:dyDescent="0.3">
      <c r="A61" s="108"/>
      <c r="B61" s="32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108"/>
      <c r="AD61" s="108"/>
      <c r="AE61" s="61"/>
    </row>
    <row r="62" spans="1:35" x14ac:dyDescent="0.3">
      <c r="A62" s="108"/>
      <c r="B62" s="32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108"/>
      <c r="AD62" s="108"/>
      <c r="AE62" s="61"/>
    </row>
    <row r="63" spans="1:35" x14ac:dyDescent="0.3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61"/>
    </row>
    <row r="64" spans="1:35" ht="15.6" x14ac:dyDescent="0.3">
      <c r="A64" s="339" t="s">
        <v>12</v>
      </c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61"/>
    </row>
    <row r="65" spans="1:35" x14ac:dyDescent="0.3">
      <c r="A65" s="326" t="s">
        <v>61</v>
      </c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"/>
      <c r="AE65" s="66"/>
    </row>
    <row r="66" spans="1:35" x14ac:dyDescent="0.3">
      <c r="A66" s="51" t="s">
        <v>13</v>
      </c>
      <c r="B66" s="306">
        <f>+H8</f>
        <v>0</v>
      </c>
      <c r="C66" s="306"/>
      <c r="D66" s="306"/>
      <c r="E66" s="306"/>
      <c r="F66" s="306"/>
      <c r="G66" s="306"/>
      <c r="H66" s="306"/>
      <c r="I66" s="306"/>
      <c r="J66" s="306"/>
      <c r="K66" s="307" t="s">
        <v>53</v>
      </c>
      <c r="L66" s="307"/>
      <c r="M66" s="307"/>
      <c r="N66" s="308" t="str">
        <f>+H14</f>
        <v>C.C.</v>
      </c>
      <c r="O66" s="306"/>
      <c r="P66" s="50" t="s">
        <v>3</v>
      </c>
      <c r="Q66" s="308">
        <f>+K14</f>
        <v>0</v>
      </c>
      <c r="R66" s="308"/>
      <c r="S66" s="308"/>
      <c r="T66" s="308"/>
      <c r="U66" s="308"/>
      <c r="V66" s="309" t="s">
        <v>34</v>
      </c>
      <c r="W66" s="309"/>
      <c r="X66" s="309"/>
      <c r="Y66" s="309"/>
      <c r="Z66" s="309"/>
      <c r="AA66" s="309"/>
      <c r="AB66" s="309"/>
      <c r="AC66" s="309"/>
      <c r="AD66" s="3"/>
      <c r="AE66" s="64"/>
      <c r="AG66" s="96"/>
    </row>
    <row r="67" spans="1:35" x14ac:dyDescent="0.3">
      <c r="A67" s="306" t="str">
        <f>+H10</f>
        <v>PRESTACION DE SERVICIOS</v>
      </c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51" t="s">
        <v>3</v>
      </c>
      <c r="M67" s="306">
        <f>+H12</f>
        <v>0</v>
      </c>
      <c r="N67" s="306"/>
      <c r="O67" s="50" t="s">
        <v>14</v>
      </c>
      <c r="P67" s="306">
        <f>+N12</f>
        <v>0</v>
      </c>
      <c r="Q67" s="306"/>
      <c r="R67" s="326" t="s">
        <v>33</v>
      </c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16"/>
      <c r="AD67" s="16"/>
      <c r="AE67" s="71"/>
      <c r="AG67" s="93"/>
      <c r="AI67" s="81"/>
    </row>
    <row r="68" spans="1:35" x14ac:dyDescent="0.3">
      <c r="A68" s="1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66"/>
      <c r="AI68" s="81"/>
    </row>
    <row r="69" spans="1:35" x14ac:dyDescent="0.3">
      <c r="A69" s="327" t="s">
        <v>54</v>
      </c>
      <c r="B69" s="327"/>
      <c r="C69" s="327"/>
      <c r="D69" s="327"/>
      <c r="E69" s="327"/>
      <c r="F69" s="327"/>
      <c r="G69" s="327"/>
      <c r="H69" s="327"/>
      <c r="I69" s="327"/>
      <c r="J69" s="327"/>
      <c r="K69" s="327"/>
      <c r="L69" s="327"/>
      <c r="M69" s="327"/>
      <c r="N69" s="327"/>
      <c r="O69" s="327"/>
      <c r="P69" s="327"/>
      <c r="Q69" s="327"/>
      <c r="R69" s="327"/>
      <c r="S69" s="327"/>
      <c r="T69" s="327"/>
      <c r="U69" s="327"/>
      <c r="V69" s="327"/>
      <c r="W69" s="327"/>
      <c r="X69" s="327"/>
      <c r="Y69" s="327"/>
      <c r="Z69" s="327"/>
      <c r="AA69" s="327"/>
      <c r="AB69" s="327"/>
      <c r="AC69" s="327"/>
      <c r="AD69" s="327"/>
      <c r="AE69" s="66"/>
    </row>
    <row r="70" spans="1:35" x14ac:dyDescent="0.3">
      <c r="A70" s="51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66"/>
    </row>
    <row r="71" spans="1:35" x14ac:dyDescent="0.3">
      <c r="A71" s="326" t="s">
        <v>55</v>
      </c>
      <c r="B71" s="326"/>
      <c r="C71" s="326"/>
      <c r="D71" s="326"/>
      <c r="E71" s="326"/>
      <c r="F71" s="326"/>
      <c r="G71" s="326"/>
      <c r="H71" s="326"/>
      <c r="I71" s="326"/>
      <c r="J71" s="326"/>
      <c r="K71" s="328">
        <f>+V57</f>
        <v>0</v>
      </c>
      <c r="L71" s="328"/>
      <c r="M71" s="328"/>
      <c r="N71" s="328"/>
      <c r="O71" s="51" t="s">
        <v>15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66"/>
    </row>
    <row r="72" spans="1:35" x14ac:dyDescent="0.3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25"/>
      <c r="L72" s="125"/>
      <c r="M72" s="125"/>
      <c r="N72" s="125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66"/>
    </row>
    <row r="73" spans="1:35" x14ac:dyDescent="0.3">
      <c r="A73" s="140" t="s">
        <v>56</v>
      </c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323"/>
      <c r="N73" s="323"/>
      <c r="O73" s="130"/>
      <c r="P73" s="324"/>
      <c r="Q73" s="324"/>
      <c r="R73" s="324"/>
      <c r="S73" s="100"/>
      <c r="T73" s="325"/>
      <c r="U73" s="325"/>
      <c r="V73" s="103"/>
      <c r="W73" s="103"/>
      <c r="X73" s="103"/>
      <c r="Y73" s="103"/>
      <c r="Z73" s="103"/>
      <c r="AA73" s="103"/>
      <c r="AB73" s="103"/>
      <c r="AC73" s="14"/>
      <c r="AD73" s="91"/>
      <c r="AE73" s="91"/>
      <c r="AG73" s="1"/>
      <c r="AH73"/>
      <c r="AI73"/>
    </row>
    <row r="74" spans="1:35" x14ac:dyDescent="0.3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322" t="s">
        <v>28</v>
      </c>
      <c r="N74" s="322"/>
      <c r="O74" s="116"/>
      <c r="P74" s="322" t="s">
        <v>29</v>
      </c>
      <c r="Q74" s="322"/>
      <c r="R74" s="322"/>
      <c r="S74" s="116"/>
      <c r="T74" s="322" t="s">
        <v>30</v>
      </c>
      <c r="U74" s="322"/>
      <c r="V74" s="101"/>
      <c r="W74" s="101"/>
      <c r="X74" s="101"/>
      <c r="Y74" s="101"/>
      <c r="Z74" s="101"/>
      <c r="AA74" s="101"/>
      <c r="AB74" s="101"/>
      <c r="AC74" s="101"/>
      <c r="AD74" s="101"/>
      <c r="AE74" s="66"/>
    </row>
    <row r="75" spans="1:35" x14ac:dyDescent="0.3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2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01"/>
      <c r="AA75" s="101"/>
      <c r="AB75" s="101"/>
      <c r="AC75" s="101"/>
      <c r="AD75" s="101"/>
      <c r="AE75" s="66"/>
    </row>
    <row r="76" spans="1:35" x14ac:dyDescent="0.3">
      <c r="A76" s="101"/>
      <c r="B76" s="102"/>
      <c r="C76" s="102"/>
      <c r="D76" s="102"/>
      <c r="E76" s="102"/>
      <c r="F76" s="102"/>
      <c r="G76" s="102"/>
      <c r="H76" s="102"/>
      <c r="I76" s="102"/>
      <c r="J76" s="127"/>
      <c r="K76" s="101"/>
      <c r="L76" s="101"/>
      <c r="M76" s="101"/>
      <c r="N76" s="101"/>
      <c r="O76" s="101"/>
      <c r="P76" s="101"/>
      <c r="Q76" s="101"/>
      <c r="R76" s="101"/>
      <c r="S76" s="127"/>
      <c r="T76" s="116"/>
      <c r="U76" s="116"/>
      <c r="V76" s="116"/>
      <c r="W76" s="116"/>
      <c r="X76" s="116"/>
      <c r="Y76" s="116"/>
      <c r="Z76" s="116"/>
      <c r="AA76" s="116"/>
      <c r="AB76" s="116"/>
      <c r="AC76" s="101"/>
      <c r="AD76" s="101"/>
      <c r="AE76" s="66"/>
    </row>
    <row r="77" spans="1:35" x14ac:dyDescent="0.3">
      <c r="A77" s="101"/>
      <c r="B77" s="102"/>
      <c r="C77" s="102"/>
      <c r="D77" s="102"/>
      <c r="E77" s="102"/>
      <c r="F77" s="102"/>
      <c r="G77" s="102"/>
      <c r="H77" s="102"/>
      <c r="I77" s="102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28"/>
      <c r="U77" s="128"/>
      <c r="V77" s="128"/>
      <c r="W77" s="128"/>
      <c r="X77" s="128"/>
      <c r="Y77" s="128"/>
      <c r="Z77" s="128"/>
      <c r="AA77" s="128"/>
      <c r="AB77" s="128"/>
      <c r="AC77" s="101"/>
      <c r="AD77" s="101"/>
      <c r="AE77" s="66"/>
    </row>
    <row r="78" spans="1:35" ht="15.6" x14ac:dyDescent="0.3">
      <c r="A78" s="101"/>
      <c r="B78" s="102"/>
      <c r="C78" s="102"/>
      <c r="D78" s="102"/>
      <c r="E78" s="102"/>
      <c r="F78" s="102"/>
      <c r="G78" s="102"/>
      <c r="H78" s="102"/>
      <c r="I78" s="102"/>
      <c r="J78" s="129"/>
      <c r="K78" s="321" t="s">
        <v>66</v>
      </c>
      <c r="L78" s="322"/>
      <c r="M78" s="322"/>
      <c r="N78" s="322"/>
      <c r="O78" s="322"/>
      <c r="P78" s="322"/>
      <c r="Q78" s="322"/>
      <c r="R78" s="322"/>
      <c r="S78" s="129"/>
      <c r="T78" s="128"/>
      <c r="U78" s="128"/>
      <c r="V78" s="128"/>
      <c r="W78" s="128"/>
      <c r="X78" s="128"/>
      <c r="Y78" s="128"/>
      <c r="Z78" s="128"/>
      <c r="AA78" s="128"/>
      <c r="AB78" s="128"/>
      <c r="AC78" s="101"/>
      <c r="AD78" s="101"/>
      <c r="AE78" s="66"/>
    </row>
    <row r="79" spans="1:35" ht="15" thickBot="1" x14ac:dyDescent="0.3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4"/>
    </row>
  </sheetData>
  <mergeCells count="164">
    <mergeCell ref="L42:O42"/>
    <mergeCell ref="K78:R78"/>
    <mergeCell ref="A73:L73"/>
    <mergeCell ref="M73:N73"/>
    <mergeCell ref="P73:R73"/>
    <mergeCell ref="T73:U73"/>
    <mergeCell ref="M74:N74"/>
    <mergeCell ref="P74:R74"/>
    <mergeCell ref="T74:U74"/>
    <mergeCell ref="A67:K67"/>
    <mergeCell ref="M67:N67"/>
    <mergeCell ref="P67:Q67"/>
    <mergeCell ref="R67:AB67"/>
    <mergeCell ref="A69:AD69"/>
    <mergeCell ref="A71:J71"/>
    <mergeCell ref="K71:N71"/>
    <mergeCell ref="B57:C57"/>
    <mergeCell ref="D57:F57"/>
    <mergeCell ref="G57:I57"/>
    <mergeCell ref="J57:L57"/>
    <mergeCell ref="M57:O57"/>
    <mergeCell ref="P57:R57"/>
    <mergeCell ref="A64:AD64"/>
    <mergeCell ref="A65:AC65"/>
    <mergeCell ref="B66:J66"/>
    <mergeCell ref="K66:M66"/>
    <mergeCell ref="N66:O66"/>
    <mergeCell ref="Q66:U66"/>
    <mergeCell ref="V66:AC66"/>
    <mergeCell ref="S57:U57"/>
    <mergeCell ref="V57:Y57"/>
    <mergeCell ref="Z57:AB57"/>
    <mergeCell ref="B58:AB58"/>
    <mergeCell ref="B59:AB59"/>
    <mergeCell ref="B60:AB62"/>
    <mergeCell ref="K50:M50"/>
    <mergeCell ref="N50:Q50"/>
    <mergeCell ref="S50:V50"/>
    <mergeCell ref="W50:Z50"/>
    <mergeCell ref="A51:AD51"/>
    <mergeCell ref="A53:AD53"/>
    <mergeCell ref="B54:AB54"/>
    <mergeCell ref="B55:C56"/>
    <mergeCell ref="D55:I55"/>
    <mergeCell ref="J55:L56"/>
    <mergeCell ref="M55:O56"/>
    <mergeCell ref="P55:R56"/>
    <mergeCell ref="S55:U56"/>
    <mergeCell ref="V55:Y56"/>
    <mergeCell ref="Z55:AB56"/>
    <mergeCell ref="D56:F56"/>
    <mergeCell ref="G56:I56"/>
    <mergeCell ref="Q43:V43"/>
    <mergeCell ref="X43:AA43"/>
    <mergeCell ref="C44:F44"/>
    <mergeCell ref="H44:J44"/>
    <mergeCell ref="L44:O44"/>
    <mergeCell ref="Q44:V44"/>
    <mergeCell ref="X44:AA44"/>
    <mergeCell ref="A46:AD46"/>
    <mergeCell ref="D48:E48"/>
    <mergeCell ref="F48:I48"/>
    <mergeCell ref="J48:J50"/>
    <mergeCell ref="K48:M48"/>
    <mergeCell ref="N48:Q48"/>
    <mergeCell ref="R48:R50"/>
    <mergeCell ref="S48:V48"/>
    <mergeCell ref="W48:Z48"/>
    <mergeCell ref="D49:E49"/>
    <mergeCell ref="F49:I49"/>
    <mergeCell ref="K49:M49"/>
    <mergeCell ref="N49:Q49"/>
    <mergeCell ref="S49:V49"/>
    <mergeCell ref="W49:Z49"/>
    <mergeCell ref="D50:E50"/>
    <mergeCell ref="F50:I50"/>
    <mergeCell ref="A38:AD38"/>
    <mergeCell ref="B40:B44"/>
    <mergeCell ref="C40:F40"/>
    <mergeCell ref="G40:G44"/>
    <mergeCell ref="H40:J40"/>
    <mergeCell ref="K40:K44"/>
    <mergeCell ref="L40:O40"/>
    <mergeCell ref="P40:P44"/>
    <mergeCell ref="Q40:V40"/>
    <mergeCell ref="W40:W44"/>
    <mergeCell ref="X42:AA42"/>
    <mergeCell ref="X40:AA40"/>
    <mergeCell ref="AB40:AB44"/>
    <mergeCell ref="C41:F41"/>
    <mergeCell ref="H41:J41"/>
    <mergeCell ref="L41:O41"/>
    <mergeCell ref="Q41:V41"/>
    <mergeCell ref="X41:AA41"/>
    <mergeCell ref="C42:F42"/>
    <mergeCell ref="H42:J42"/>
    <mergeCell ref="Q42:V42"/>
    <mergeCell ref="C43:F43"/>
    <mergeCell ref="H43:J43"/>
    <mergeCell ref="L43:O43"/>
    <mergeCell ref="A35:D35"/>
    <mergeCell ref="E35:H35"/>
    <mergeCell ref="L35:O35"/>
    <mergeCell ref="P35:S35"/>
    <mergeCell ref="A36:D36"/>
    <mergeCell ref="E36:H36"/>
    <mergeCell ref="L36:O36"/>
    <mergeCell ref="P36:S36"/>
    <mergeCell ref="P32:S32"/>
    <mergeCell ref="A33:D33"/>
    <mergeCell ref="E33:H33"/>
    <mergeCell ref="L33:O33"/>
    <mergeCell ref="P33:S33"/>
    <mergeCell ref="A34:D34"/>
    <mergeCell ref="E34:H34"/>
    <mergeCell ref="L34:O34"/>
    <mergeCell ref="P34:S34"/>
    <mergeCell ref="G29:H29"/>
    <mergeCell ref="A30:H30"/>
    <mergeCell ref="I30:L30"/>
    <mergeCell ref="A32:D32"/>
    <mergeCell ref="E32:H32"/>
    <mergeCell ref="L32:O32"/>
    <mergeCell ref="Z26:AD26"/>
    <mergeCell ref="A28:H28"/>
    <mergeCell ref="I28:L28"/>
    <mergeCell ref="Q28:T28"/>
    <mergeCell ref="U28:V28"/>
    <mergeCell ref="W28:X28"/>
    <mergeCell ref="A22:E22"/>
    <mergeCell ref="F22:I22"/>
    <mergeCell ref="J22:M22"/>
    <mergeCell ref="N22:Q22"/>
    <mergeCell ref="A25:AD25"/>
    <mergeCell ref="A26:E26"/>
    <mergeCell ref="F26:N26"/>
    <mergeCell ref="O26:P26"/>
    <mergeCell ref="Q26:W26"/>
    <mergeCell ref="X26:Y26"/>
    <mergeCell ref="A16:G16"/>
    <mergeCell ref="H16:P17"/>
    <mergeCell ref="A18:G18"/>
    <mergeCell ref="H18:P18"/>
    <mergeCell ref="A19:AD19"/>
    <mergeCell ref="A21:I21"/>
    <mergeCell ref="J21:R21"/>
    <mergeCell ref="H10:P10"/>
    <mergeCell ref="A12:G12"/>
    <mergeCell ref="H12:I12"/>
    <mergeCell ref="J12:M12"/>
    <mergeCell ref="N12:P12"/>
    <mergeCell ref="A14:G14"/>
    <mergeCell ref="H14:I14"/>
    <mergeCell ref="K14:P14"/>
    <mergeCell ref="A2:AE2"/>
    <mergeCell ref="A3:AE3"/>
    <mergeCell ref="A4:AE4"/>
    <mergeCell ref="A6:AE6"/>
    <mergeCell ref="A7:AD7"/>
    <mergeCell ref="A8:G8"/>
    <mergeCell ref="H8:P8"/>
    <mergeCell ref="R8:S8"/>
    <mergeCell ref="T8:AD15"/>
    <mergeCell ref="A10:G10"/>
  </mergeCells>
  <phoneticPr fontId="26" type="noConversion"/>
  <dataValidations count="6">
    <dataValidation type="list" allowBlank="1" showInputMessage="1" showErrorMessage="1" sqref="Q26:W26" xr:uid="{00000000-0002-0000-0000-000000000000}">
      <formula1>$AH$6:$AH$12</formula1>
    </dataValidation>
    <dataValidation type="list" allowBlank="1" showInputMessage="1" showErrorMessage="1" sqref="Z26:AD26" xr:uid="{00000000-0002-0000-0000-000001000000}">
      <formula1>$AI$6:$AI$8</formula1>
    </dataValidation>
    <dataValidation type="list" allowBlank="1" showInputMessage="1" showErrorMessage="1" prompt="C.C.:Cédula de Ciudadanía; C.E.:Cédula de Extranjería; NIT.: Número de Identificación Tributaria; PAS.: Pasaporte" sqref="H14:I14" xr:uid="{00000000-0002-0000-0000-000002000000}">
      <formula1>"C.C.,C.E.,NIT.,PAS."</formula1>
    </dataValidation>
    <dataValidation allowBlank="1" showInputMessage="1" showErrorMessage="1" prompt="AÑO" sqref="N12" xr:uid="{00000000-0002-0000-0000-000003000000}"/>
    <dataValidation type="list" allowBlank="1" showInputMessage="1" showErrorMessage="1" sqref="P73:R73" xr:uid="{00000000-0002-0000-0000-000004000000}">
      <formula1>$AG$1:$AG$12</formula1>
    </dataValidation>
    <dataValidation type="list" allowBlank="1" showInputMessage="1" showErrorMessage="1" sqref="M73:N73" xr:uid="{00000000-0002-0000-0000-000005000000}">
      <formula1>$AF$1:$AF$31</formula1>
    </dataValidation>
  </dataValidations>
  <printOptions horizontalCentered="1" verticalCentered="1"/>
  <pageMargins left="0.11811023622047245" right="0.11811023622047245" top="0.15748031496062992" bottom="0.19685039370078741" header="0" footer="0"/>
  <pageSetup scale="6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5" sqref="D5:G18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AO87"/>
  <sheetViews>
    <sheetView showGridLines="0" showWhiteSpace="0" topLeftCell="A53" zoomScale="80" zoomScaleNormal="80" zoomScaleSheetLayoutView="80" zoomScalePageLayoutView="60" workbookViewId="0">
      <selection activeCell="T78" sqref="T78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6.332031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3.44140625" style="1" customWidth="1"/>
    <col min="31" max="31" width="1.33203125" style="1" customWidth="1"/>
    <col min="32" max="32" width="3.109375" style="1" customWidth="1"/>
    <col min="33" max="33" width="11.44140625" style="91" hidden="1" customWidth="1"/>
    <col min="34" max="34" width="19" style="91" hidden="1" customWidth="1"/>
    <col min="35" max="35" width="24.109375" style="91" hidden="1" customWidth="1"/>
    <col min="36" max="36" width="26.5546875" style="1" hidden="1" customWidth="1"/>
    <col min="37" max="37" width="11.44140625" style="1" customWidth="1"/>
    <col min="38" max="38" width="13.88671875" style="1" customWidth="1"/>
    <col min="39" max="40" width="11.44140625" style="1" customWidth="1"/>
    <col min="41" max="16384" width="11.44140625" style="1"/>
  </cols>
  <sheetData>
    <row r="1" spans="1:36" ht="28.5" customHeight="1" x14ac:dyDescent="0.25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8"/>
      <c r="AG1" s="91">
        <v>1</v>
      </c>
      <c r="AH1" s="91" t="s">
        <v>120</v>
      </c>
      <c r="AI1" s="91">
        <v>2019</v>
      </c>
    </row>
    <row r="2" spans="1:36" ht="17.399999999999999" x14ac:dyDescent="0.25">
      <c r="A2" s="370" t="s">
        <v>65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4"/>
      <c r="AG2" s="91">
        <v>2</v>
      </c>
      <c r="AH2" s="91" t="s">
        <v>121</v>
      </c>
      <c r="AI2" s="91">
        <v>2020</v>
      </c>
    </row>
    <row r="3" spans="1:36" ht="17.399999999999999" x14ac:dyDescent="0.25">
      <c r="A3" s="370" t="s">
        <v>149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4"/>
    </row>
    <row r="4" spans="1:36" ht="17.399999999999999" x14ac:dyDescent="0.25">
      <c r="A4" s="59"/>
      <c r="B4" s="135" t="s">
        <v>132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  <c r="AG4" s="91">
        <v>3</v>
      </c>
      <c r="AH4" s="91" t="s">
        <v>122</v>
      </c>
      <c r="AI4" s="91">
        <v>2021</v>
      </c>
    </row>
    <row r="5" spans="1:36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  <c r="AG5" s="91">
        <v>4</v>
      </c>
      <c r="AH5" s="91" t="s">
        <v>123</v>
      </c>
    </row>
    <row r="6" spans="1:36" ht="21.75" customHeight="1" x14ac:dyDescent="0.25">
      <c r="A6" s="371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8"/>
      <c r="AG6" s="91">
        <v>5</v>
      </c>
      <c r="AH6" s="91" t="s">
        <v>124</v>
      </c>
      <c r="AI6" s="91" t="s">
        <v>145</v>
      </c>
      <c r="AJ6" s="1" t="s">
        <v>27</v>
      </c>
    </row>
    <row r="7" spans="1:36" ht="15.6" x14ac:dyDescent="0.25">
      <c r="A7" s="60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62"/>
      <c r="AG7" s="91">
        <v>6</v>
      </c>
      <c r="AH7" s="91" t="s">
        <v>125</v>
      </c>
      <c r="AI7" s="91" t="s">
        <v>75</v>
      </c>
      <c r="AJ7" s="1" t="s">
        <v>146</v>
      </c>
    </row>
    <row r="8" spans="1:36" ht="30" customHeight="1" x14ac:dyDescent="0.25">
      <c r="A8" s="63"/>
      <c r="B8" s="140" t="s">
        <v>57</v>
      </c>
      <c r="C8" s="140"/>
      <c r="D8" s="140"/>
      <c r="E8" s="140"/>
      <c r="F8" s="140"/>
      <c r="G8" s="140"/>
      <c r="H8" s="141"/>
      <c r="I8" s="166" t="s">
        <v>152</v>
      </c>
      <c r="J8" s="167"/>
      <c r="K8" s="167"/>
      <c r="L8" s="167"/>
      <c r="M8" s="167"/>
      <c r="N8" s="167"/>
      <c r="O8" s="167"/>
      <c r="P8" s="167"/>
      <c r="Q8" s="168"/>
      <c r="R8" s="100"/>
      <c r="S8" s="145" t="s">
        <v>1</v>
      </c>
      <c r="T8" s="145"/>
      <c r="U8" s="372"/>
      <c r="V8" s="373"/>
      <c r="W8" s="373"/>
      <c r="X8" s="373"/>
      <c r="Y8" s="373"/>
      <c r="Z8" s="373"/>
      <c r="AA8" s="373"/>
      <c r="AB8" s="373"/>
      <c r="AC8" s="373"/>
      <c r="AD8" s="373"/>
      <c r="AE8" s="374"/>
      <c r="AF8" s="64"/>
      <c r="AG8" s="91">
        <v>7</v>
      </c>
      <c r="AH8" s="91" t="s">
        <v>148</v>
      </c>
      <c r="AI8" s="91" t="s">
        <v>140</v>
      </c>
      <c r="AJ8" s="1" t="s">
        <v>147</v>
      </c>
    </row>
    <row r="9" spans="1:36" x14ac:dyDescent="0.25">
      <c r="A9" s="65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375"/>
      <c r="V9" s="376"/>
      <c r="W9" s="376"/>
      <c r="X9" s="376"/>
      <c r="Y9" s="376"/>
      <c r="Z9" s="376"/>
      <c r="AA9" s="376"/>
      <c r="AB9" s="376"/>
      <c r="AC9" s="376"/>
      <c r="AD9" s="376"/>
      <c r="AE9" s="377"/>
      <c r="AF9" s="66"/>
      <c r="AG9" s="91">
        <v>8</v>
      </c>
      <c r="AH9" s="91" t="s">
        <v>126</v>
      </c>
      <c r="AI9" s="91" t="s">
        <v>141</v>
      </c>
    </row>
    <row r="10" spans="1:36" ht="15" customHeight="1" x14ac:dyDescent="0.25">
      <c r="A10" s="65"/>
      <c r="B10" s="140" t="s">
        <v>18</v>
      </c>
      <c r="C10" s="140"/>
      <c r="D10" s="140"/>
      <c r="E10" s="140"/>
      <c r="F10" s="140"/>
      <c r="G10" s="140"/>
      <c r="H10" s="141"/>
      <c r="I10" s="166" t="s">
        <v>153</v>
      </c>
      <c r="J10" s="167"/>
      <c r="K10" s="167"/>
      <c r="L10" s="167"/>
      <c r="M10" s="167"/>
      <c r="N10" s="167"/>
      <c r="O10" s="167"/>
      <c r="P10" s="167"/>
      <c r="Q10" s="168"/>
      <c r="R10" s="101"/>
      <c r="S10" s="100"/>
      <c r="T10" s="102"/>
      <c r="U10" s="375"/>
      <c r="V10" s="376"/>
      <c r="W10" s="376"/>
      <c r="X10" s="376"/>
      <c r="Y10" s="376"/>
      <c r="Z10" s="376"/>
      <c r="AA10" s="376"/>
      <c r="AB10" s="376"/>
      <c r="AC10" s="376"/>
      <c r="AD10" s="376"/>
      <c r="AE10" s="377"/>
      <c r="AF10" s="66"/>
      <c r="AG10" s="91">
        <v>9</v>
      </c>
      <c r="AH10" s="91" t="s">
        <v>127</v>
      </c>
      <c r="AI10" s="91" t="s">
        <v>142</v>
      </c>
    </row>
    <row r="11" spans="1:36" x14ac:dyDescent="0.25">
      <c r="A11" s="65"/>
      <c r="B11" s="103"/>
      <c r="C11" s="103"/>
      <c r="D11" s="103"/>
      <c r="E11" s="103"/>
      <c r="F11" s="103"/>
      <c r="G11" s="101"/>
      <c r="H11" s="101"/>
      <c r="I11" s="104"/>
      <c r="J11" s="104"/>
      <c r="K11" s="104"/>
      <c r="L11" s="104"/>
      <c r="M11" s="104"/>
      <c r="N11" s="104"/>
      <c r="O11" s="104"/>
      <c r="P11" s="104"/>
      <c r="Q11" s="104"/>
      <c r="R11" s="101"/>
      <c r="S11" s="101"/>
      <c r="T11" s="101"/>
      <c r="U11" s="375"/>
      <c r="V11" s="376"/>
      <c r="W11" s="376"/>
      <c r="X11" s="376"/>
      <c r="Y11" s="376"/>
      <c r="Z11" s="376"/>
      <c r="AA11" s="376"/>
      <c r="AB11" s="376"/>
      <c r="AC11" s="376"/>
      <c r="AD11" s="376"/>
      <c r="AE11" s="377"/>
      <c r="AF11" s="66"/>
      <c r="AG11" s="91">
        <v>10</v>
      </c>
      <c r="AH11" s="91" t="s">
        <v>128</v>
      </c>
      <c r="AI11" s="91" t="s">
        <v>143</v>
      </c>
    </row>
    <row r="12" spans="1:36" x14ac:dyDescent="0.25">
      <c r="A12" s="65"/>
      <c r="B12" s="140" t="s">
        <v>19</v>
      </c>
      <c r="C12" s="140"/>
      <c r="D12" s="140"/>
      <c r="E12" s="140"/>
      <c r="F12" s="140"/>
      <c r="G12" s="140"/>
      <c r="H12" s="141"/>
      <c r="I12" s="173"/>
      <c r="J12" s="175"/>
      <c r="K12" s="171" t="s">
        <v>2</v>
      </c>
      <c r="L12" s="172"/>
      <c r="M12" s="172"/>
      <c r="N12" s="172"/>
      <c r="O12" s="173"/>
      <c r="P12" s="174"/>
      <c r="Q12" s="175"/>
      <c r="R12" s="101"/>
      <c r="S12" s="101"/>
      <c r="T12" s="101"/>
      <c r="U12" s="375"/>
      <c r="V12" s="376"/>
      <c r="W12" s="376"/>
      <c r="X12" s="376"/>
      <c r="Y12" s="376"/>
      <c r="Z12" s="376"/>
      <c r="AA12" s="376"/>
      <c r="AB12" s="376"/>
      <c r="AC12" s="376"/>
      <c r="AD12" s="376"/>
      <c r="AE12" s="377"/>
      <c r="AF12" s="66"/>
      <c r="AG12" s="91">
        <v>11</v>
      </c>
      <c r="AH12" s="91" t="s">
        <v>129</v>
      </c>
      <c r="AI12" s="91" t="s">
        <v>144</v>
      </c>
    </row>
    <row r="13" spans="1:36" x14ac:dyDescent="0.25">
      <c r="A13" s="65"/>
      <c r="B13" s="103"/>
      <c r="C13" s="103"/>
      <c r="D13" s="103"/>
      <c r="E13" s="103"/>
      <c r="F13" s="103"/>
      <c r="G13" s="101"/>
      <c r="H13" s="101"/>
      <c r="I13" s="105"/>
      <c r="J13" s="105"/>
      <c r="K13" s="105"/>
      <c r="L13" s="105"/>
      <c r="M13" s="105"/>
      <c r="N13" s="105"/>
      <c r="O13" s="105"/>
      <c r="P13" s="105"/>
      <c r="Q13" s="105"/>
      <c r="R13" s="101"/>
      <c r="S13" s="101"/>
      <c r="T13" s="101"/>
      <c r="U13" s="375"/>
      <c r="V13" s="376"/>
      <c r="W13" s="376"/>
      <c r="X13" s="376"/>
      <c r="Y13" s="376"/>
      <c r="Z13" s="376"/>
      <c r="AA13" s="376"/>
      <c r="AB13" s="376"/>
      <c r="AC13" s="376"/>
      <c r="AD13" s="376"/>
      <c r="AE13" s="377"/>
      <c r="AF13" s="66"/>
      <c r="AG13" s="91">
        <v>12</v>
      </c>
      <c r="AH13" s="91" t="s">
        <v>130</v>
      </c>
    </row>
    <row r="14" spans="1:36" x14ac:dyDescent="0.25">
      <c r="A14" s="65"/>
      <c r="B14" s="140" t="s">
        <v>20</v>
      </c>
      <c r="C14" s="140"/>
      <c r="D14" s="140"/>
      <c r="E14" s="140"/>
      <c r="F14" s="140"/>
      <c r="G14" s="140"/>
      <c r="H14" s="141"/>
      <c r="I14" s="176" t="s">
        <v>78</v>
      </c>
      <c r="J14" s="177"/>
      <c r="K14" s="106" t="s">
        <v>3</v>
      </c>
      <c r="L14" s="178">
        <v>1077444943</v>
      </c>
      <c r="M14" s="179"/>
      <c r="N14" s="179"/>
      <c r="O14" s="179"/>
      <c r="P14" s="179"/>
      <c r="Q14" s="180"/>
      <c r="R14" s="101"/>
      <c r="S14" s="101"/>
      <c r="T14" s="101"/>
      <c r="U14" s="375"/>
      <c r="V14" s="376"/>
      <c r="W14" s="376"/>
      <c r="X14" s="376"/>
      <c r="Y14" s="376"/>
      <c r="Z14" s="376"/>
      <c r="AA14" s="376"/>
      <c r="AB14" s="376"/>
      <c r="AC14" s="376"/>
      <c r="AD14" s="376"/>
      <c r="AE14" s="377"/>
      <c r="AF14" s="66"/>
      <c r="AG14" s="91">
        <v>13</v>
      </c>
    </row>
    <row r="15" spans="1:36" x14ac:dyDescent="0.25">
      <c r="A15" s="65"/>
      <c r="B15" s="103"/>
      <c r="C15" s="103"/>
      <c r="D15" s="103"/>
      <c r="E15" s="103"/>
      <c r="F15" s="103"/>
      <c r="G15" s="101"/>
      <c r="H15" s="101"/>
      <c r="I15" s="105"/>
      <c r="J15" s="105"/>
      <c r="K15" s="105"/>
      <c r="L15" s="105"/>
      <c r="M15" s="105"/>
      <c r="N15" s="105"/>
      <c r="O15" s="105"/>
      <c r="P15" s="105"/>
      <c r="Q15" s="105"/>
      <c r="R15" s="101"/>
      <c r="S15" s="101"/>
      <c r="T15" s="101"/>
      <c r="U15" s="378"/>
      <c r="V15" s="379"/>
      <c r="W15" s="379"/>
      <c r="X15" s="379"/>
      <c r="Y15" s="379"/>
      <c r="Z15" s="379"/>
      <c r="AA15" s="379"/>
      <c r="AB15" s="379"/>
      <c r="AC15" s="379"/>
      <c r="AD15" s="379"/>
      <c r="AE15" s="380"/>
      <c r="AF15" s="66"/>
      <c r="AG15" s="91">
        <v>14</v>
      </c>
    </row>
    <row r="16" spans="1:36" ht="21" customHeight="1" x14ac:dyDescent="0.25">
      <c r="A16" s="65"/>
      <c r="B16" s="140" t="s">
        <v>58</v>
      </c>
      <c r="C16" s="140"/>
      <c r="D16" s="140"/>
      <c r="E16" s="140"/>
      <c r="F16" s="140"/>
      <c r="G16" s="140"/>
      <c r="H16" s="140"/>
      <c r="I16" s="155" t="s">
        <v>154</v>
      </c>
      <c r="J16" s="156"/>
      <c r="K16" s="156"/>
      <c r="L16" s="156"/>
      <c r="M16" s="156"/>
      <c r="N16" s="156"/>
      <c r="O16" s="156"/>
      <c r="P16" s="156"/>
      <c r="Q16" s="157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66"/>
      <c r="AG16" s="91">
        <v>15</v>
      </c>
    </row>
    <row r="17" spans="1:41" ht="9" customHeight="1" x14ac:dyDescent="0.25">
      <c r="A17" s="65"/>
      <c r="B17" s="103"/>
      <c r="C17" s="103"/>
      <c r="D17" s="103"/>
      <c r="E17" s="103"/>
      <c r="F17" s="103"/>
      <c r="G17" s="101"/>
      <c r="H17" s="101"/>
      <c r="I17" s="158"/>
      <c r="J17" s="159"/>
      <c r="K17" s="159"/>
      <c r="L17" s="159"/>
      <c r="M17" s="159"/>
      <c r="N17" s="159"/>
      <c r="O17" s="159"/>
      <c r="P17" s="159"/>
      <c r="Q17" s="160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66"/>
      <c r="AG17" s="91">
        <v>16</v>
      </c>
    </row>
    <row r="18" spans="1:41" ht="33.75" customHeight="1" x14ac:dyDescent="0.25">
      <c r="A18" s="65"/>
      <c r="B18" s="140" t="s">
        <v>59</v>
      </c>
      <c r="C18" s="140"/>
      <c r="D18" s="140"/>
      <c r="E18" s="140"/>
      <c r="F18" s="140"/>
      <c r="G18" s="140"/>
      <c r="H18" s="140"/>
      <c r="I18" s="368" t="s">
        <v>155</v>
      </c>
      <c r="J18" s="162"/>
      <c r="K18" s="162"/>
      <c r="L18" s="162"/>
      <c r="M18" s="162"/>
      <c r="N18" s="162"/>
      <c r="O18" s="162"/>
      <c r="P18" s="162"/>
      <c r="Q18" s="163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66"/>
      <c r="AG18" s="91">
        <v>17</v>
      </c>
    </row>
    <row r="19" spans="1:41" ht="15.6" x14ac:dyDescent="0.25">
      <c r="A19" s="60"/>
      <c r="B19" s="139" t="s">
        <v>131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62"/>
      <c r="AG19" s="91">
        <v>18</v>
      </c>
    </row>
    <row r="20" spans="1:41" x14ac:dyDescent="0.25">
      <c r="A20" s="6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61"/>
      <c r="AG20" s="91">
        <v>19</v>
      </c>
    </row>
    <row r="21" spans="1:41" x14ac:dyDescent="0.25">
      <c r="A21" s="60"/>
      <c r="B21" s="164" t="s">
        <v>133</v>
      </c>
      <c r="C21" s="164"/>
      <c r="D21" s="164"/>
      <c r="E21" s="164"/>
      <c r="F21" s="164"/>
      <c r="G21" s="164"/>
      <c r="H21" s="164"/>
      <c r="I21" s="164"/>
      <c r="J21" s="164"/>
      <c r="K21" s="181" t="str">
        <f>I8</f>
        <v>LEIDY SAMIRA DIAZ MARTINEZ</v>
      </c>
      <c r="L21" s="181"/>
      <c r="M21" s="181"/>
      <c r="N21" s="181"/>
      <c r="O21" s="181"/>
      <c r="P21" s="181"/>
      <c r="Q21" s="181"/>
      <c r="R21" s="181"/>
      <c r="S21" s="181"/>
      <c r="T21" s="1" t="s">
        <v>134</v>
      </c>
      <c r="AF21" s="67"/>
      <c r="AG21" s="91">
        <v>20</v>
      </c>
      <c r="AH21" s="92"/>
    </row>
    <row r="22" spans="1:41" x14ac:dyDescent="0.25">
      <c r="A22" s="60"/>
      <c r="B22" s="164" t="s">
        <v>135</v>
      </c>
      <c r="C22" s="164"/>
      <c r="D22" s="164"/>
      <c r="E22" s="164"/>
      <c r="F22" s="164"/>
      <c r="G22" s="181">
        <f>I12</f>
        <v>0</v>
      </c>
      <c r="H22" s="181"/>
      <c r="I22" s="181"/>
      <c r="J22" s="181"/>
      <c r="K22" s="182" t="s">
        <v>136</v>
      </c>
      <c r="L22" s="182"/>
      <c r="M22" s="182"/>
      <c r="N22" s="182"/>
      <c r="O22" s="369"/>
      <c r="P22" s="369"/>
      <c r="Q22" s="369"/>
      <c r="R22" s="369"/>
      <c r="S22" s="1" t="s">
        <v>137</v>
      </c>
      <c r="AF22" s="68"/>
      <c r="AG22" s="91">
        <v>21</v>
      </c>
      <c r="AH22" s="92"/>
    </row>
    <row r="23" spans="1:41" x14ac:dyDescent="0.25">
      <c r="A23" s="60"/>
      <c r="B23" s="1" t="s">
        <v>138</v>
      </c>
      <c r="AF23" s="68"/>
      <c r="AG23" s="91">
        <v>22</v>
      </c>
      <c r="AH23" s="92"/>
      <c r="AO23" s="1" t="s">
        <v>158</v>
      </c>
    </row>
    <row r="24" spans="1:41" x14ac:dyDescent="0.25">
      <c r="A24" s="65"/>
      <c r="B24" s="51"/>
      <c r="C24" s="51"/>
      <c r="D24" s="51"/>
      <c r="E24" s="51"/>
      <c r="F24" s="51"/>
      <c r="G24" s="14"/>
      <c r="H24" s="14"/>
      <c r="I24" s="19"/>
      <c r="J24" s="19"/>
      <c r="K24" s="19"/>
      <c r="L24" s="19"/>
      <c r="M24" s="19"/>
      <c r="N24" s="19"/>
      <c r="O24" s="19"/>
      <c r="P24" s="19"/>
      <c r="Q24" s="19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66"/>
      <c r="AG24" s="91">
        <v>23</v>
      </c>
      <c r="AH24" s="92"/>
    </row>
    <row r="25" spans="1:41" ht="15.6" x14ac:dyDescent="0.25">
      <c r="A25" s="60"/>
      <c r="B25" s="139" t="s">
        <v>22</v>
      </c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62"/>
      <c r="AG25" s="91">
        <v>24</v>
      </c>
    </row>
    <row r="26" spans="1:41" x14ac:dyDescent="0.25">
      <c r="A26" s="60"/>
      <c r="B26" s="184" t="s">
        <v>60</v>
      </c>
      <c r="C26" s="184"/>
      <c r="D26" s="184"/>
      <c r="E26" s="184"/>
      <c r="F26" s="185"/>
      <c r="G26" s="186" t="s">
        <v>156</v>
      </c>
      <c r="H26" s="187"/>
      <c r="I26" s="187"/>
      <c r="J26" s="187"/>
      <c r="K26" s="187"/>
      <c r="L26" s="187"/>
      <c r="M26" s="187"/>
      <c r="N26" s="187"/>
      <c r="O26" s="188"/>
      <c r="P26" s="189" t="s">
        <v>4</v>
      </c>
      <c r="Q26" s="190"/>
      <c r="R26" s="191" t="s">
        <v>145</v>
      </c>
      <c r="S26" s="192"/>
      <c r="T26" s="192"/>
      <c r="U26" s="192"/>
      <c r="V26" s="192"/>
      <c r="W26" s="192"/>
      <c r="X26" s="193"/>
      <c r="Y26" s="189" t="s">
        <v>5</v>
      </c>
      <c r="Z26" s="194"/>
      <c r="AA26" s="205" t="s">
        <v>146</v>
      </c>
      <c r="AB26" s="206"/>
      <c r="AC26" s="206"/>
      <c r="AD26" s="206"/>
      <c r="AE26" s="207"/>
      <c r="AF26" s="67"/>
      <c r="AG26" s="91">
        <v>25</v>
      </c>
    </row>
    <row r="27" spans="1:41" x14ac:dyDescent="0.25">
      <c r="A27" s="60"/>
      <c r="B27" s="107"/>
      <c r="C27" s="107"/>
      <c r="D27" s="108"/>
      <c r="E27" s="108"/>
      <c r="F27" s="108"/>
      <c r="G27" s="108"/>
      <c r="H27" s="108"/>
      <c r="I27" s="108"/>
      <c r="J27" s="108"/>
      <c r="K27" s="109"/>
      <c r="L27" s="109"/>
      <c r="M27" s="109"/>
      <c r="N27" s="109"/>
      <c r="O27" s="109"/>
      <c r="P27" s="108"/>
      <c r="Q27" s="108"/>
      <c r="R27" s="108"/>
      <c r="S27" s="109"/>
      <c r="T27" s="109"/>
      <c r="U27" s="109"/>
      <c r="V27" s="109"/>
      <c r="W27" s="109"/>
      <c r="X27" s="110"/>
      <c r="Y27" s="110"/>
      <c r="Z27" s="110"/>
      <c r="AA27" s="109"/>
      <c r="AB27" s="109"/>
      <c r="AC27" s="109"/>
      <c r="AD27" s="109"/>
      <c r="AE27" s="109"/>
      <c r="AF27" s="68"/>
      <c r="AG27" s="91">
        <v>26</v>
      </c>
      <c r="AH27" s="92"/>
    </row>
    <row r="28" spans="1:41" x14ac:dyDescent="0.25">
      <c r="A28" s="60"/>
      <c r="B28" s="184" t="s">
        <v>62</v>
      </c>
      <c r="C28" s="184"/>
      <c r="D28" s="184"/>
      <c r="E28" s="184"/>
      <c r="F28" s="184"/>
      <c r="G28" s="184"/>
      <c r="H28" s="184"/>
      <c r="I28" s="185"/>
      <c r="J28" s="196">
        <v>43864</v>
      </c>
      <c r="K28" s="197"/>
      <c r="L28" s="197"/>
      <c r="M28" s="198"/>
      <c r="N28" s="111"/>
      <c r="O28" s="111"/>
      <c r="P28" s="111"/>
      <c r="Q28" s="111"/>
      <c r="R28" s="145" t="s">
        <v>8</v>
      </c>
      <c r="S28" s="145"/>
      <c r="T28" s="145"/>
      <c r="U28" s="208"/>
      <c r="V28" s="209">
        <v>4</v>
      </c>
      <c r="W28" s="210"/>
      <c r="X28" s="171" t="s">
        <v>39</v>
      </c>
      <c r="Y28" s="172"/>
      <c r="Z28" s="26">
        <v>28</v>
      </c>
      <c r="AA28" s="103" t="s">
        <v>40</v>
      </c>
      <c r="AB28" s="100"/>
      <c r="AC28" s="112"/>
      <c r="AD28" s="112"/>
      <c r="AE28" s="109"/>
      <c r="AF28" s="68"/>
      <c r="AG28" s="91">
        <v>27</v>
      </c>
      <c r="AH28" s="92"/>
    </row>
    <row r="29" spans="1:41" x14ac:dyDescent="0.25">
      <c r="A29" s="60"/>
      <c r="B29" s="107"/>
      <c r="C29" s="107"/>
      <c r="D29" s="108"/>
      <c r="E29" s="108"/>
      <c r="F29" s="113"/>
      <c r="G29" s="114"/>
      <c r="H29" s="195"/>
      <c r="I29" s="195"/>
      <c r="J29" s="109"/>
      <c r="K29" s="101"/>
      <c r="L29" s="101"/>
      <c r="M29" s="112"/>
      <c r="N29" s="101"/>
      <c r="O29" s="115"/>
      <c r="P29" s="115"/>
      <c r="Q29" s="115"/>
      <c r="R29" s="103"/>
      <c r="S29" s="100"/>
      <c r="T29" s="100" t="s">
        <v>97</v>
      </c>
      <c r="U29" s="100"/>
      <c r="V29" s="100"/>
      <c r="W29" s="100"/>
      <c r="X29" s="116"/>
      <c r="Y29" s="116"/>
      <c r="Z29" s="112"/>
      <c r="AA29" s="112"/>
      <c r="AB29" s="112"/>
      <c r="AC29" s="112"/>
      <c r="AD29" s="112"/>
      <c r="AE29" s="109"/>
      <c r="AF29" s="61"/>
      <c r="AG29" s="91">
        <v>28</v>
      </c>
      <c r="AH29" s="92"/>
    </row>
    <row r="30" spans="1:41" x14ac:dyDescent="0.25">
      <c r="A30" s="60"/>
      <c r="B30" s="184" t="s">
        <v>63</v>
      </c>
      <c r="C30" s="184"/>
      <c r="D30" s="184"/>
      <c r="E30" s="184"/>
      <c r="F30" s="184"/>
      <c r="G30" s="184"/>
      <c r="H30" s="184"/>
      <c r="I30" s="185"/>
      <c r="J30" s="196">
        <v>44012</v>
      </c>
      <c r="K30" s="197"/>
      <c r="L30" s="197"/>
      <c r="M30" s="198"/>
      <c r="N30" s="111"/>
      <c r="O30" s="111"/>
      <c r="P30" s="111"/>
      <c r="Q30" s="111"/>
      <c r="R30" s="111"/>
      <c r="S30" s="101"/>
      <c r="T30" s="117"/>
      <c r="U30" s="117"/>
      <c r="V30" s="117"/>
      <c r="W30" s="117"/>
      <c r="X30" s="116"/>
      <c r="Y30" s="116"/>
      <c r="Z30" s="112"/>
      <c r="AA30" s="112"/>
      <c r="AB30" s="112"/>
      <c r="AC30" s="112"/>
      <c r="AD30" s="112"/>
      <c r="AE30" s="109"/>
      <c r="AF30" s="61"/>
      <c r="AG30" s="91">
        <v>29</v>
      </c>
      <c r="AH30" s="92"/>
    </row>
    <row r="31" spans="1:41" ht="14.4" thickBot="1" x14ac:dyDescent="0.3">
      <c r="A31" s="65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1"/>
      <c r="T31" s="117"/>
      <c r="U31" s="117"/>
      <c r="V31" s="117"/>
      <c r="W31" s="117"/>
      <c r="X31" s="116"/>
      <c r="Y31" s="116"/>
      <c r="Z31" s="112"/>
      <c r="AA31" s="112"/>
      <c r="AB31" s="112"/>
      <c r="AC31" s="112"/>
      <c r="AD31" s="112"/>
      <c r="AE31" s="112"/>
      <c r="AF31" s="66"/>
      <c r="AG31" s="91">
        <v>30</v>
      </c>
      <c r="AH31" s="92"/>
    </row>
    <row r="32" spans="1:41" ht="14.4" thickTop="1" x14ac:dyDescent="0.25">
      <c r="A32" s="65"/>
      <c r="B32" s="203" t="s">
        <v>119</v>
      </c>
      <c r="C32" s="204"/>
      <c r="D32" s="204"/>
      <c r="E32" s="204"/>
      <c r="F32" s="201">
        <v>12538409</v>
      </c>
      <c r="G32" s="201"/>
      <c r="H32" s="201"/>
      <c r="I32" s="202"/>
      <c r="J32" s="100"/>
      <c r="K32" s="100"/>
      <c r="L32" s="100"/>
      <c r="M32" s="203" t="s">
        <v>41</v>
      </c>
      <c r="N32" s="204"/>
      <c r="O32" s="204"/>
      <c r="P32" s="204"/>
      <c r="Q32" s="225" t="s">
        <v>21</v>
      </c>
      <c r="R32" s="225"/>
      <c r="S32" s="225"/>
      <c r="T32" s="226"/>
      <c r="U32" s="100"/>
      <c r="V32" s="117"/>
      <c r="W32" s="117"/>
      <c r="X32" s="117"/>
      <c r="Y32" s="117"/>
      <c r="Z32" s="117"/>
      <c r="AA32" s="117"/>
      <c r="AB32" s="117"/>
      <c r="AC32" s="117"/>
      <c r="AD32" s="100"/>
      <c r="AE32" s="100"/>
      <c r="AF32" s="64"/>
      <c r="AG32" s="91">
        <v>31</v>
      </c>
      <c r="AH32" s="92"/>
    </row>
    <row r="33" spans="1:36" x14ac:dyDescent="0.25">
      <c r="A33" s="65"/>
      <c r="B33" s="211" t="s">
        <v>79</v>
      </c>
      <c r="C33" s="212"/>
      <c r="D33" s="212"/>
      <c r="E33" s="212"/>
      <c r="F33" s="213">
        <v>0</v>
      </c>
      <c r="G33" s="213"/>
      <c r="H33" s="213"/>
      <c r="I33" s="214"/>
      <c r="J33" s="100"/>
      <c r="K33" s="100"/>
      <c r="L33" s="100"/>
      <c r="M33" s="215" t="s">
        <v>31</v>
      </c>
      <c r="N33" s="216"/>
      <c r="O33" s="216"/>
      <c r="P33" s="217"/>
      <c r="Q33" s="213"/>
      <c r="R33" s="213"/>
      <c r="S33" s="213"/>
      <c r="T33" s="214"/>
      <c r="U33" s="100"/>
      <c r="V33" s="117"/>
      <c r="W33" s="117"/>
      <c r="X33" s="117"/>
      <c r="Y33" s="117"/>
      <c r="Z33" s="117"/>
      <c r="AA33" s="117"/>
      <c r="AB33" s="117"/>
      <c r="AC33" s="117"/>
      <c r="AD33" s="100"/>
      <c r="AE33" s="100"/>
      <c r="AF33" s="64"/>
      <c r="AH33" s="92"/>
    </row>
    <row r="34" spans="1:36" x14ac:dyDescent="0.25">
      <c r="A34" s="65"/>
      <c r="B34" s="211" t="s">
        <v>6</v>
      </c>
      <c r="C34" s="212"/>
      <c r="D34" s="212"/>
      <c r="E34" s="212"/>
      <c r="F34" s="213">
        <v>0</v>
      </c>
      <c r="G34" s="213"/>
      <c r="H34" s="213"/>
      <c r="I34" s="214"/>
      <c r="J34" s="100"/>
      <c r="K34" s="100"/>
      <c r="L34" s="100"/>
      <c r="M34" s="215" t="s">
        <v>35</v>
      </c>
      <c r="N34" s="216"/>
      <c r="O34" s="216"/>
      <c r="P34" s="217"/>
      <c r="Q34" s="213"/>
      <c r="R34" s="213"/>
      <c r="S34" s="213"/>
      <c r="T34" s="214"/>
      <c r="U34" s="100"/>
      <c r="V34" s="117"/>
      <c r="W34" s="117"/>
      <c r="X34" s="117"/>
      <c r="Y34" s="117"/>
      <c r="Z34" s="117"/>
      <c r="AA34" s="117"/>
      <c r="AB34" s="117"/>
      <c r="AC34" s="117"/>
      <c r="AD34" s="100"/>
      <c r="AE34" s="100"/>
      <c r="AF34" s="64"/>
      <c r="AH34" s="92"/>
    </row>
    <row r="35" spans="1:36" x14ac:dyDescent="0.25">
      <c r="A35" s="65"/>
      <c r="B35" s="211" t="s">
        <v>37</v>
      </c>
      <c r="C35" s="212"/>
      <c r="D35" s="212"/>
      <c r="E35" s="212"/>
      <c r="F35" s="213"/>
      <c r="G35" s="213"/>
      <c r="H35" s="213"/>
      <c r="I35" s="214"/>
      <c r="J35" s="112"/>
      <c r="K35" s="100"/>
      <c r="L35" s="100"/>
      <c r="M35" s="215" t="s">
        <v>36</v>
      </c>
      <c r="N35" s="216"/>
      <c r="O35" s="216"/>
      <c r="P35" s="217"/>
      <c r="Q35" s="213"/>
      <c r="R35" s="213"/>
      <c r="S35" s="213"/>
      <c r="T35" s="214"/>
      <c r="U35" s="100"/>
      <c r="V35" s="117"/>
      <c r="W35" s="117"/>
      <c r="X35" s="117"/>
      <c r="Y35" s="117"/>
      <c r="Z35" s="117"/>
      <c r="AA35" s="117"/>
      <c r="AB35" s="117"/>
      <c r="AC35" s="117"/>
      <c r="AD35" s="100"/>
      <c r="AE35" s="100"/>
      <c r="AF35" s="64"/>
      <c r="AH35" s="92"/>
    </row>
    <row r="36" spans="1:36" ht="14.4" thickBot="1" x14ac:dyDescent="0.3">
      <c r="A36" s="65"/>
      <c r="B36" s="218" t="s">
        <v>7</v>
      </c>
      <c r="C36" s="219"/>
      <c r="D36" s="219"/>
      <c r="E36" s="219"/>
      <c r="F36" s="220">
        <f>SUM(F32:I35)</f>
        <v>12538409</v>
      </c>
      <c r="G36" s="221"/>
      <c r="H36" s="221"/>
      <c r="I36" s="222"/>
      <c r="J36" s="101"/>
      <c r="K36" s="100"/>
      <c r="L36" s="100"/>
      <c r="M36" s="218"/>
      <c r="N36" s="219"/>
      <c r="O36" s="219"/>
      <c r="P36" s="219"/>
      <c r="Q36" s="223"/>
      <c r="R36" s="223"/>
      <c r="S36" s="223"/>
      <c r="T36" s="224"/>
      <c r="U36" s="100"/>
      <c r="V36" s="117"/>
      <c r="W36" s="117"/>
      <c r="X36" s="117"/>
      <c r="Y36" s="117"/>
      <c r="Z36" s="117"/>
      <c r="AA36" s="117"/>
      <c r="AB36" s="117"/>
      <c r="AC36" s="117"/>
      <c r="AD36" s="100"/>
      <c r="AE36" s="100"/>
      <c r="AF36" s="64"/>
      <c r="AH36" s="92"/>
    </row>
    <row r="37" spans="1:36" ht="14.4" thickTop="1" x14ac:dyDescent="0.25">
      <c r="A37" s="65"/>
      <c r="B37" s="103"/>
      <c r="C37" s="103"/>
      <c r="D37" s="101"/>
      <c r="E37" s="101"/>
      <c r="F37" s="117"/>
      <c r="G37" s="117"/>
      <c r="H37" s="117"/>
      <c r="I37" s="117"/>
      <c r="J37" s="101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64"/>
      <c r="AH37" s="92"/>
    </row>
    <row r="38" spans="1:36" ht="15.6" x14ac:dyDescent="0.25">
      <c r="A38" s="60"/>
      <c r="B38" s="227" t="s">
        <v>23</v>
      </c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62"/>
    </row>
    <row r="39" spans="1:36" ht="14.4" thickBot="1" x14ac:dyDescent="0.3">
      <c r="A39" s="65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 t="s">
        <v>97</v>
      </c>
      <c r="U39" s="100"/>
      <c r="V39" s="100"/>
      <c r="W39" s="100"/>
      <c r="X39" s="100"/>
      <c r="Y39" s="100"/>
      <c r="Z39" s="100"/>
      <c r="AA39" s="100"/>
      <c r="AB39" s="100"/>
      <c r="AC39" s="100"/>
      <c r="AD39" s="112"/>
      <c r="AE39" s="112"/>
      <c r="AF39" s="66"/>
    </row>
    <row r="40" spans="1:36" ht="49.5" customHeight="1" thickTop="1" x14ac:dyDescent="0.25">
      <c r="A40" s="65"/>
      <c r="B40" s="100"/>
      <c r="C40" s="228"/>
      <c r="D40" s="231" t="s">
        <v>42</v>
      </c>
      <c r="E40" s="231"/>
      <c r="F40" s="231"/>
      <c r="G40" s="231"/>
      <c r="H40" s="367"/>
      <c r="I40" s="231" t="s">
        <v>43</v>
      </c>
      <c r="J40" s="231"/>
      <c r="K40" s="231"/>
      <c r="L40" s="367"/>
      <c r="M40" s="231" t="s">
        <v>44</v>
      </c>
      <c r="N40" s="231"/>
      <c r="O40" s="231"/>
      <c r="P40" s="231"/>
      <c r="Q40" s="235"/>
      <c r="R40" s="231" t="s">
        <v>45</v>
      </c>
      <c r="S40" s="231"/>
      <c r="T40" s="231"/>
      <c r="U40" s="231"/>
      <c r="V40" s="231"/>
      <c r="W40" s="231"/>
      <c r="X40" s="235"/>
      <c r="Y40" s="231" t="s">
        <v>64</v>
      </c>
      <c r="Z40" s="231"/>
      <c r="AA40" s="231"/>
      <c r="AB40" s="231"/>
      <c r="AC40" s="242"/>
      <c r="AD40" s="112"/>
      <c r="AE40" s="112"/>
      <c r="AF40" s="66"/>
    </row>
    <row r="41" spans="1:36" x14ac:dyDescent="0.25">
      <c r="A41" s="65"/>
      <c r="B41" s="100"/>
      <c r="C41" s="229"/>
      <c r="D41" s="365"/>
      <c r="E41" s="365"/>
      <c r="F41" s="365"/>
      <c r="G41" s="365"/>
      <c r="H41" s="365"/>
      <c r="I41" s="246"/>
      <c r="J41" s="246"/>
      <c r="K41" s="246"/>
      <c r="L41" s="365"/>
      <c r="M41" s="247"/>
      <c r="N41" s="248"/>
      <c r="O41" s="248"/>
      <c r="P41" s="249"/>
      <c r="Q41" s="236"/>
      <c r="R41" s="250"/>
      <c r="S41" s="250"/>
      <c r="T41" s="250"/>
      <c r="U41" s="250"/>
      <c r="V41" s="250"/>
      <c r="W41" s="250"/>
      <c r="X41" s="236"/>
      <c r="Y41" s="251">
        <v>2302965</v>
      </c>
      <c r="Z41" s="251"/>
      <c r="AA41" s="251"/>
      <c r="AB41" s="251"/>
      <c r="AC41" s="243"/>
      <c r="AD41" s="112"/>
      <c r="AE41" s="112"/>
      <c r="AF41" s="66"/>
    </row>
    <row r="42" spans="1:36" x14ac:dyDescent="0.25">
      <c r="A42" s="65"/>
      <c r="B42" s="100"/>
      <c r="C42" s="229"/>
      <c r="D42" s="351"/>
      <c r="E42" s="352"/>
      <c r="F42" s="352"/>
      <c r="G42" s="353"/>
      <c r="H42" s="365"/>
      <c r="I42" s="255"/>
      <c r="J42" s="256"/>
      <c r="K42" s="257"/>
      <c r="L42" s="365"/>
      <c r="M42" s="97"/>
      <c r="N42" s="98"/>
      <c r="O42" s="98"/>
      <c r="P42" s="99"/>
      <c r="Q42" s="236"/>
      <c r="R42" s="354"/>
      <c r="S42" s="355"/>
      <c r="T42" s="355"/>
      <c r="U42" s="355"/>
      <c r="V42" s="355"/>
      <c r="W42" s="356"/>
      <c r="X42" s="236"/>
      <c r="Y42" s="238"/>
      <c r="Z42" s="239"/>
      <c r="AA42" s="239"/>
      <c r="AB42" s="240"/>
      <c r="AC42" s="243"/>
      <c r="AD42" s="112"/>
      <c r="AE42" s="112"/>
      <c r="AF42" s="66"/>
      <c r="AH42" s="92"/>
      <c r="AJ42" s="81"/>
    </row>
    <row r="43" spans="1:36" x14ac:dyDescent="0.25">
      <c r="A43" s="65"/>
      <c r="B43" s="100"/>
      <c r="C43" s="229"/>
      <c r="D43" s="351"/>
      <c r="E43" s="352"/>
      <c r="F43" s="352"/>
      <c r="G43" s="353"/>
      <c r="H43" s="365"/>
      <c r="I43" s="255"/>
      <c r="J43" s="256"/>
      <c r="K43" s="257"/>
      <c r="L43" s="365"/>
      <c r="M43" s="97"/>
      <c r="N43" s="98"/>
      <c r="O43" s="98"/>
      <c r="P43" s="99"/>
      <c r="Q43" s="236"/>
      <c r="R43" s="354"/>
      <c r="S43" s="355"/>
      <c r="T43" s="355"/>
      <c r="U43" s="355"/>
      <c r="V43" s="355"/>
      <c r="W43" s="356"/>
      <c r="X43" s="236"/>
      <c r="Y43" s="238"/>
      <c r="Z43" s="239"/>
      <c r="AA43" s="239"/>
      <c r="AB43" s="240"/>
      <c r="AC43" s="243"/>
      <c r="AD43" s="112"/>
      <c r="AE43" s="112"/>
      <c r="AF43" s="66"/>
      <c r="AH43" s="92"/>
      <c r="AJ43" s="85"/>
    </row>
    <row r="44" spans="1:36" x14ac:dyDescent="0.25">
      <c r="A44" s="65"/>
      <c r="B44" s="100"/>
      <c r="C44" s="229"/>
      <c r="D44" s="351"/>
      <c r="E44" s="352"/>
      <c r="F44" s="352"/>
      <c r="G44" s="353"/>
      <c r="H44" s="365"/>
      <c r="I44" s="255"/>
      <c r="J44" s="256"/>
      <c r="K44" s="257"/>
      <c r="L44" s="365"/>
      <c r="M44" s="97"/>
      <c r="N44" s="98"/>
      <c r="O44" s="98"/>
      <c r="P44" s="99"/>
      <c r="Q44" s="236"/>
      <c r="R44" s="354"/>
      <c r="S44" s="355"/>
      <c r="T44" s="355"/>
      <c r="U44" s="355"/>
      <c r="V44" s="355"/>
      <c r="W44" s="356"/>
      <c r="X44" s="236"/>
      <c r="Y44" s="238"/>
      <c r="Z44" s="239"/>
      <c r="AA44" s="239"/>
      <c r="AB44" s="240"/>
      <c r="AC44" s="243"/>
      <c r="AD44" s="112"/>
      <c r="AE44" s="112"/>
      <c r="AF44" s="66"/>
      <c r="AH44" s="92"/>
      <c r="AJ44" s="85"/>
    </row>
    <row r="45" spans="1:36" x14ac:dyDescent="0.25">
      <c r="A45" s="65"/>
      <c r="B45" s="100"/>
      <c r="C45" s="229"/>
      <c r="D45" s="365"/>
      <c r="E45" s="365"/>
      <c r="F45" s="365"/>
      <c r="G45" s="365"/>
      <c r="H45" s="365"/>
      <c r="I45" s="246"/>
      <c r="J45" s="246"/>
      <c r="K45" s="246"/>
      <c r="L45" s="365"/>
      <c r="M45" s="247"/>
      <c r="N45" s="248"/>
      <c r="O45" s="248"/>
      <c r="P45" s="249"/>
      <c r="Q45" s="236"/>
      <c r="R45" s="258"/>
      <c r="S45" s="258"/>
      <c r="T45" s="258"/>
      <c r="U45" s="258"/>
      <c r="V45" s="258"/>
      <c r="W45" s="258"/>
      <c r="X45" s="236"/>
      <c r="Y45" s="251"/>
      <c r="Z45" s="251"/>
      <c r="AA45" s="251"/>
      <c r="AB45" s="251"/>
      <c r="AC45" s="243"/>
      <c r="AD45" s="112"/>
      <c r="AE45" s="112"/>
      <c r="AF45" s="66"/>
      <c r="AH45" s="92"/>
      <c r="AJ45" s="85"/>
    </row>
    <row r="46" spans="1:36" ht="14.4" thickBot="1" x14ac:dyDescent="0.3">
      <c r="A46" s="65"/>
      <c r="B46" s="100"/>
      <c r="C46" s="230"/>
      <c r="D46" s="366"/>
      <c r="E46" s="366"/>
      <c r="F46" s="366"/>
      <c r="G46" s="366"/>
      <c r="H46" s="366"/>
      <c r="I46" s="259"/>
      <c r="J46" s="259"/>
      <c r="K46" s="259"/>
      <c r="L46" s="366"/>
      <c r="M46" s="260"/>
      <c r="N46" s="261"/>
      <c r="O46" s="261"/>
      <c r="P46" s="262"/>
      <c r="Q46" s="237"/>
      <c r="R46" s="263"/>
      <c r="S46" s="263"/>
      <c r="T46" s="263"/>
      <c r="U46" s="263"/>
      <c r="V46" s="263"/>
      <c r="W46" s="263"/>
      <c r="X46" s="237"/>
      <c r="Y46" s="264"/>
      <c r="Z46" s="264"/>
      <c r="AA46" s="264"/>
      <c r="AB46" s="264"/>
      <c r="AC46" s="244"/>
      <c r="AD46" s="101"/>
      <c r="AE46" s="112"/>
      <c r="AF46" s="66"/>
      <c r="AH46" s="92"/>
      <c r="AJ46" s="85"/>
    </row>
    <row r="47" spans="1:36" ht="14.4" thickTop="1" x14ac:dyDescent="0.25">
      <c r="A47" s="65"/>
      <c r="B47" s="100"/>
      <c r="C47" s="103"/>
      <c r="D47" s="101"/>
      <c r="E47" s="118"/>
      <c r="F47" s="119"/>
      <c r="G47" s="119"/>
      <c r="H47" s="119"/>
      <c r="I47" s="118"/>
      <c r="J47" s="119"/>
      <c r="K47" s="119"/>
      <c r="L47" s="119"/>
      <c r="M47" s="118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19"/>
      <c r="AB47" s="100"/>
      <c r="AC47" s="100"/>
      <c r="AD47" s="101"/>
      <c r="AE47" s="112"/>
      <c r="AF47" s="66"/>
      <c r="AJ47" s="81"/>
    </row>
    <row r="48" spans="1:36" ht="15.6" x14ac:dyDescent="0.25">
      <c r="A48" s="60"/>
      <c r="B48" s="227" t="s">
        <v>46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62"/>
    </row>
    <row r="49" spans="1:38" ht="14.4" thickBot="1" x14ac:dyDescent="0.3">
      <c r="A49" s="60"/>
      <c r="B49" s="103"/>
      <c r="C49" s="103"/>
      <c r="D49" s="101"/>
      <c r="E49" s="101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1"/>
      <c r="AE49" s="112"/>
      <c r="AF49" s="66"/>
    </row>
    <row r="50" spans="1:38" ht="15" customHeight="1" thickTop="1" x14ac:dyDescent="0.25">
      <c r="A50" s="60"/>
      <c r="B50" s="100"/>
      <c r="C50" s="100"/>
      <c r="D50" s="100"/>
      <c r="E50" s="265" t="s">
        <v>70</v>
      </c>
      <c r="F50" s="266"/>
      <c r="G50" s="267">
        <v>127900</v>
      </c>
      <c r="H50" s="267"/>
      <c r="I50" s="267"/>
      <c r="J50" s="267"/>
      <c r="K50" s="268"/>
      <c r="L50" s="271" t="s">
        <v>24</v>
      </c>
      <c r="M50" s="272"/>
      <c r="N50" s="266"/>
      <c r="O50" s="267" t="s">
        <v>74</v>
      </c>
      <c r="P50" s="267"/>
      <c r="Q50" s="267"/>
      <c r="R50" s="267"/>
      <c r="S50" s="273"/>
      <c r="T50" s="276" t="s">
        <v>25</v>
      </c>
      <c r="U50" s="276"/>
      <c r="V50" s="276"/>
      <c r="W50" s="276"/>
      <c r="X50" s="357">
        <v>9403551211</v>
      </c>
      <c r="Y50" s="357"/>
      <c r="Z50" s="357"/>
      <c r="AA50" s="358"/>
      <c r="AB50" s="101"/>
      <c r="AC50" s="101"/>
      <c r="AD50" s="101"/>
      <c r="AE50" s="112"/>
      <c r="AF50" s="66"/>
      <c r="AH50" s="93"/>
    </row>
    <row r="51" spans="1:38" ht="14.4" thickBot="1" x14ac:dyDescent="0.3">
      <c r="A51" s="60"/>
      <c r="B51" s="103"/>
      <c r="C51" s="100"/>
      <c r="D51" s="100"/>
      <c r="E51" s="121"/>
      <c r="F51" s="122"/>
      <c r="G51" s="122"/>
      <c r="H51" s="122"/>
      <c r="I51" s="122"/>
      <c r="J51" s="122"/>
      <c r="K51" s="269"/>
      <c r="L51" s="122"/>
      <c r="M51" s="122"/>
      <c r="N51" s="122"/>
      <c r="O51" s="122"/>
      <c r="P51" s="122"/>
      <c r="Q51" s="122"/>
      <c r="R51" s="122"/>
      <c r="S51" s="274"/>
      <c r="T51" s="122"/>
      <c r="U51" s="122"/>
      <c r="V51" s="122"/>
      <c r="W51" s="122"/>
      <c r="X51" s="122"/>
      <c r="Y51" s="122"/>
      <c r="Z51" s="122"/>
      <c r="AA51" s="123"/>
      <c r="AB51" s="101"/>
      <c r="AC51" s="101"/>
      <c r="AD51" s="101"/>
      <c r="AE51" s="112"/>
      <c r="AF51" s="66"/>
      <c r="AH51" s="93"/>
    </row>
    <row r="52" spans="1:38" ht="15" customHeight="1" thickTop="1" x14ac:dyDescent="0.25">
      <c r="A52" s="60"/>
      <c r="B52" s="100"/>
      <c r="C52" s="100"/>
      <c r="D52" s="100"/>
      <c r="E52" s="279" t="s">
        <v>69</v>
      </c>
      <c r="F52" s="280"/>
      <c r="G52" s="281">
        <v>163800</v>
      </c>
      <c r="H52" s="281"/>
      <c r="I52" s="281"/>
      <c r="J52" s="281"/>
      <c r="K52" s="269"/>
      <c r="L52" s="282" t="s">
        <v>26</v>
      </c>
      <c r="M52" s="283"/>
      <c r="N52" s="280"/>
      <c r="O52" s="281" t="s">
        <v>77</v>
      </c>
      <c r="P52" s="281"/>
      <c r="Q52" s="281"/>
      <c r="R52" s="281"/>
      <c r="S52" s="274"/>
      <c r="T52" s="284" t="s">
        <v>25</v>
      </c>
      <c r="U52" s="284"/>
      <c r="V52" s="284"/>
      <c r="W52" s="284"/>
      <c r="X52" s="357">
        <v>9403551211</v>
      </c>
      <c r="Y52" s="357"/>
      <c r="Z52" s="357"/>
      <c r="AA52" s="358"/>
      <c r="AB52" s="101"/>
      <c r="AC52" s="101"/>
      <c r="AD52" s="101"/>
      <c r="AE52" s="112"/>
      <c r="AF52" s="66"/>
      <c r="AH52" s="93"/>
    </row>
    <row r="53" spans="1:38" ht="14.4" thickBot="1" x14ac:dyDescent="0.3">
      <c r="A53" s="60"/>
      <c r="B53" s="103"/>
      <c r="C53" s="100"/>
      <c r="D53" s="100"/>
      <c r="E53" s="121"/>
      <c r="F53" s="122"/>
      <c r="G53" s="122"/>
      <c r="H53" s="122"/>
      <c r="I53" s="122"/>
      <c r="J53" s="122"/>
      <c r="K53" s="269"/>
      <c r="L53" s="122"/>
      <c r="M53" s="122"/>
      <c r="N53" s="122"/>
      <c r="O53" s="122"/>
      <c r="P53" s="122"/>
      <c r="Q53" s="122"/>
      <c r="R53" s="122"/>
      <c r="S53" s="274"/>
      <c r="T53" s="122"/>
      <c r="U53" s="122"/>
      <c r="V53" s="122"/>
      <c r="W53" s="122"/>
      <c r="X53" s="122"/>
      <c r="Y53" s="122"/>
      <c r="Z53" s="122"/>
      <c r="AA53" s="123"/>
      <c r="AB53" s="101"/>
      <c r="AC53" s="101"/>
      <c r="AD53" s="101"/>
      <c r="AE53" s="112"/>
      <c r="AF53" s="66"/>
    </row>
    <row r="54" spans="1:38" ht="15" customHeight="1" thickTop="1" thickBot="1" x14ac:dyDescent="0.3">
      <c r="A54" s="60"/>
      <c r="B54" s="100"/>
      <c r="C54" s="100"/>
      <c r="D54" s="100"/>
      <c r="E54" s="285" t="s">
        <v>67</v>
      </c>
      <c r="F54" s="286"/>
      <c r="G54" s="287">
        <v>5400</v>
      </c>
      <c r="H54" s="287"/>
      <c r="I54" s="287"/>
      <c r="J54" s="287"/>
      <c r="K54" s="270"/>
      <c r="L54" s="288" t="s">
        <v>68</v>
      </c>
      <c r="M54" s="289"/>
      <c r="N54" s="286"/>
      <c r="O54" s="290" t="s">
        <v>72</v>
      </c>
      <c r="P54" s="290"/>
      <c r="Q54" s="290"/>
      <c r="R54" s="290"/>
      <c r="S54" s="275"/>
      <c r="T54" s="291" t="s">
        <v>25</v>
      </c>
      <c r="U54" s="291"/>
      <c r="V54" s="291"/>
      <c r="W54" s="291"/>
      <c r="X54" s="357">
        <v>9403551211</v>
      </c>
      <c r="Y54" s="357"/>
      <c r="Z54" s="357"/>
      <c r="AA54" s="358"/>
      <c r="AB54" s="101"/>
      <c r="AC54" s="101"/>
      <c r="AD54" s="101"/>
      <c r="AE54" s="112"/>
      <c r="AF54" s="66"/>
    </row>
    <row r="55" spans="1:38" ht="14.4" thickTop="1" x14ac:dyDescent="0.25">
      <c r="A55" s="60"/>
      <c r="B55" s="269" t="s">
        <v>47</v>
      </c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66"/>
    </row>
    <row r="56" spans="1:38" x14ac:dyDescent="0.25">
      <c r="A56" s="60"/>
      <c r="B56" s="103"/>
      <c r="C56" s="103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66"/>
    </row>
    <row r="57" spans="1:38" ht="15.6" x14ac:dyDescent="0.25">
      <c r="A57" s="60"/>
      <c r="B57" s="292" t="s">
        <v>48</v>
      </c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92"/>
      <c r="AA57" s="292"/>
      <c r="AB57" s="292"/>
      <c r="AC57" s="292"/>
      <c r="AD57" s="292"/>
      <c r="AE57" s="292"/>
      <c r="AF57" s="61"/>
    </row>
    <row r="58" spans="1:38" x14ac:dyDescent="0.25">
      <c r="A58" s="60"/>
      <c r="B58" s="101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93"/>
      <c r="AB58" s="293"/>
      <c r="AC58" s="293"/>
      <c r="AD58" s="101"/>
      <c r="AE58" s="108"/>
      <c r="AF58" s="61"/>
    </row>
    <row r="59" spans="1:38" s="39" customFormat="1" ht="15" customHeight="1" x14ac:dyDescent="0.25">
      <c r="A59" s="70"/>
      <c r="B59" s="124"/>
      <c r="C59" s="294" t="s">
        <v>49</v>
      </c>
      <c r="D59" s="295"/>
      <c r="E59" s="298" t="s">
        <v>50</v>
      </c>
      <c r="F59" s="299"/>
      <c r="G59" s="299"/>
      <c r="H59" s="299"/>
      <c r="I59" s="299"/>
      <c r="J59" s="300"/>
      <c r="K59" s="294" t="s">
        <v>51</v>
      </c>
      <c r="L59" s="301"/>
      <c r="M59" s="295"/>
      <c r="N59" s="294" t="s">
        <v>32</v>
      </c>
      <c r="O59" s="301"/>
      <c r="P59" s="295"/>
      <c r="Q59" s="294" t="s">
        <v>52</v>
      </c>
      <c r="R59" s="301"/>
      <c r="S59" s="295"/>
      <c r="T59" s="294" t="s">
        <v>9</v>
      </c>
      <c r="U59" s="301"/>
      <c r="V59" s="295"/>
      <c r="W59" s="294" t="s">
        <v>10</v>
      </c>
      <c r="X59" s="301"/>
      <c r="Y59" s="301"/>
      <c r="Z59" s="295"/>
      <c r="AA59" s="294" t="s">
        <v>11</v>
      </c>
      <c r="AB59" s="301"/>
      <c r="AC59" s="295"/>
      <c r="AD59" s="124"/>
      <c r="AE59" s="108"/>
      <c r="AF59" s="61"/>
      <c r="AG59" s="94"/>
      <c r="AH59" s="91"/>
      <c r="AI59" s="91"/>
      <c r="AJ59" s="86"/>
    </row>
    <row r="60" spans="1:38" s="39" customFormat="1" x14ac:dyDescent="0.25">
      <c r="A60" s="70"/>
      <c r="B60" s="124"/>
      <c r="C60" s="296"/>
      <c r="D60" s="297"/>
      <c r="E60" s="303" t="s">
        <v>16</v>
      </c>
      <c r="F60" s="304"/>
      <c r="G60" s="305"/>
      <c r="H60" s="303" t="s">
        <v>17</v>
      </c>
      <c r="I60" s="304"/>
      <c r="J60" s="305"/>
      <c r="K60" s="296"/>
      <c r="L60" s="302"/>
      <c r="M60" s="297"/>
      <c r="N60" s="296"/>
      <c r="O60" s="302"/>
      <c r="P60" s="297"/>
      <c r="Q60" s="296"/>
      <c r="R60" s="302"/>
      <c r="S60" s="297"/>
      <c r="T60" s="296"/>
      <c r="U60" s="302"/>
      <c r="V60" s="297"/>
      <c r="W60" s="296"/>
      <c r="X60" s="302"/>
      <c r="Y60" s="302"/>
      <c r="Z60" s="297"/>
      <c r="AA60" s="296"/>
      <c r="AB60" s="302"/>
      <c r="AC60" s="297"/>
      <c r="AD60" s="124"/>
      <c r="AE60" s="108"/>
      <c r="AF60" s="61"/>
      <c r="AG60" s="94"/>
      <c r="AH60" s="94"/>
      <c r="AI60" s="94"/>
      <c r="AJ60" s="1"/>
    </row>
    <row r="61" spans="1:38" s="39" customFormat="1" x14ac:dyDescent="0.25">
      <c r="A61" s="70"/>
      <c r="B61" s="124"/>
      <c r="C61" s="329">
        <v>1</v>
      </c>
      <c r="D61" s="330"/>
      <c r="E61" s="359">
        <v>43864</v>
      </c>
      <c r="F61" s="360"/>
      <c r="G61" s="361"/>
      <c r="H61" s="359">
        <v>43890</v>
      </c>
      <c r="I61" s="360"/>
      <c r="J61" s="361"/>
      <c r="K61" s="362"/>
      <c r="L61" s="363"/>
      <c r="M61" s="364"/>
      <c r="N61" s="310">
        <v>0</v>
      </c>
      <c r="O61" s="340"/>
      <c r="P61" s="341"/>
      <c r="Q61" s="310">
        <v>2558861</v>
      </c>
      <c r="R61" s="340"/>
      <c r="S61" s="341"/>
      <c r="T61" s="345">
        <v>0</v>
      </c>
      <c r="U61" s="346"/>
      <c r="V61" s="347"/>
      <c r="W61" s="348">
        <f>Q61+T61</f>
        <v>2558861</v>
      </c>
      <c r="X61" s="349"/>
      <c r="Y61" s="349"/>
      <c r="Z61" s="350"/>
      <c r="AA61" s="348"/>
      <c r="AB61" s="349"/>
      <c r="AC61" s="350"/>
      <c r="AD61" s="124"/>
      <c r="AE61" s="108"/>
      <c r="AF61" s="61"/>
      <c r="AG61" s="94"/>
      <c r="AH61" s="94"/>
      <c r="AI61" s="94"/>
    </row>
    <row r="62" spans="1:38" s="39" customFormat="1" x14ac:dyDescent="0.3">
      <c r="A62" s="70"/>
      <c r="B62" s="124"/>
      <c r="C62" s="316"/>
      <c r="D62" s="317"/>
      <c r="E62" s="317"/>
      <c r="F62" s="317"/>
      <c r="G62" s="317"/>
      <c r="H62" s="317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8"/>
      <c r="AD62" s="124"/>
      <c r="AE62" s="108"/>
      <c r="AF62" s="61"/>
      <c r="AG62" s="94"/>
      <c r="AH62" s="95"/>
      <c r="AI62" s="94"/>
    </row>
    <row r="63" spans="1:38" x14ac:dyDescent="0.25">
      <c r="A63" s="60"/>
      <c r="B63" s="101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01"/>
      <c r="AE63" s="108"/>
      <c r="AF63" s="61"/>
      <c r="AH63" s="94"/>
      <c r="AI63" s="94"/>
      <c r="AJ63" s="39"/>
    </row>
    <row r="64" spans="1:38" ht="15" customHeight="1" x14ac:dyDescent="0.25">
      <c r="A64" s="60"/>
      <c r="B64" s="108"/>
      <c r="C64" s="319" t="s">
        <v>139</v>
      </c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0"/>
      <c r="AB64" s="320"/>
      <c r="AC64" s="320"/>
      <c r="AD64" s="108"/>
      <c r="AE64" s="108"/>
      <c r="AF64" s="61"/>
      <c r="AJ64" s="39"/>
      <c r="AL64" s="87"/>
    </row>
    <row r="65" spans="1:39" x14ac:dyDescent="0.25">
      <c r="A65" s="60"/>
      <c r="B65" s="108"/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20"/>
      <c r="AD65" s="108"/>
      <c r="AE65" s="108"/>
      <c r="AF65" s="61"/>
      <c r="AL65" s="87"/>
    </row>
    <row r="66" spans="1:39" x14ac:dyDescent="0.25">
      <c r="A66" s="60"/>
      <c r="B66" s="108"/>
      <c r="C66" s="320"/>
      <c r="D66" s="320"/>
      <c r="E66" s="320"/>
      <c r="F66" s="320"/>
      <c r="G66" s="320"/>
      <c r="H66" s="320"/>
      <c r="I66" s="320"/>
      <c r="J66" s="320"/>
      <c r="K66" s="320"/>
      <c r="L66" s="320"/>
      <c r="M66" s="320"/>
      <c r="N66" s="320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  <c r="AC66" s="320"/>
      <c r="AD66" s="108"/>
      <c r="AE66" s="108"/>
      <c r="AF66" s="61"/>
    </row>
    <row r="67" spans="1:39" x14ac:dyDescent="0.25">
      <c r="A67" s="60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61"/>
    </row>
    <row r="68" spans="1:39" ht="15.6" x14ac:dyDescent="0.25">
      <c r="A68" s="60"/>
      <c r="B68" s="339" t="s">
        <v>12</v>
      </c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  <c r="AD68" s="339"/>
      <c r="AE68" s="339"/>
      <c r="AF68" s="61"/>
    </row>
    <row r="69" spans="1:39" ht="25.5" customHeight="1" x14ac:dyDescent="0.25">
      <c r="A69" s="65"/>
      <c r="B69" s="326" t="s">
        <v>61</v>
      </c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"/>
      <c r="AF69" s="66"/>
      <c r="AK69" s="90"/>
    </row>
    <row r="70" spans="1:39" x14ac:dyDescent="0.25">
      <c r="A70" s="63"/>
      <c r="B70" s="51" t="s">
        <v>13</v>
      </c>
      <c r="C70" s="306" t="str">
        <f>+I8</f>
        <v>LEIDY SAMIRA DIAZ MARTINEZ</v>
      </c>
      <c r="D70" s="306"/>
      <c r="E70" s="306"/>
      <c r="F70" s="306"/>
      <c r="G70" s="306"/>
      <c r="H70" s="306"/>
      <c r="I70" s="306"/>
      <c r="J70" s="306"/>
      <c r="K70" s="306"/>
      <c r="L70" s="307" t="s">
        <v>53</v>
      </c>
      <c r="M70" s="307"/>
      <c r="N70" s="307"/>
      <c r="O70" s="308" t="str">
        <f>+I14</f>
        <v>C.C.</v>
      </c>
      <c r="P70" s="306"/>
      <c r="Q70" s="50" t="s">
        <v>3</v>
      </c>
      <c r="R70" s="308">
        <f>+L14</f>
        <v>1077444943</v>
      </c>
      <c r="S70" s="308"/>
      <c r="T70" s="308"/>
      <c r="U70" s="308"/>
      <c r="V70" s="308"/>
      <c r="W70" s="309" t="s">
        <v>34</v>
      </c>
      <c r="X70" s="309"/>
      <c r="Y70" s="309"/>
      <c r="Z70" s="309"/>
      <c r="AA70" s="309"/>
      <c r="AB70" s="309"/>
      <c r="AC70" s="309"/>
      <c r="AD70" s="309"/>
      <c r="AE70" s="3"/>
      <c r="AF70" s="64"/>
      <c r="AK70" s="90"/>
    </row>
    <row r="71" spans="1:39" x14ac:dyDescent="0.25">
      <c r="A71" s="65"/>
      <c r="B71" s="344" t="str">
        <f>+I10</f>
        <v>PRESTACION DE SERVICIOS</v>
      </c>
      <c r="C71" s="344"/>
      <c r="D71" s="344"/>
      <c r="E71" s="344"/>
      <c r="F71" s="344"/>
      <c r="G71" s="344"/>
      <c r="H71" s="344"/>
      <c r="I71" s="344"/>
      <c r="J71" s="344"/>
      <c r="K71" s="344"/>
      <c r="L71" s="344"/>
      <c r="M71" s="51" t="s">
        <v>3</v>
      </c>
      <c r="N71" s="306">
        <f>+I12</f>
        <v>0</v>
      </c>
      <c r="O71" s="306"/>
      <c r="P71" s="50" t="s">
        <v>14</v>
      </c>
      <c r="Q71" s="306">
        <f>+O12</f>
        <v>0</v>
      </c>
      <c r="R71" s="306"/>
      <c r="S71" s="326" t="s">
        <v>33</v>
      </c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16"/>
      <c r="AE71" s="16"/>
      <c r="AF71" s="71"/>
      <c r="AH71" s="96"/>
      <c r="AJ71" s="81"/>
    </row>
    <row r="72" spans="1:39" x14ac:dyDescent="0.25">
      <c r="A72" s="65"/>
      <c r="B72" s="1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  <c r="AH72" s="93"/>
      <c r="AJ72" s="81"/>
    </row>
    <row r="73" spans="1:39" ht="32.25" customHeight="1" x14ac:dyDescent="0.25">
      <c r="A73" s="65"/>
      <c r="B73" s="327" t="s">
        <v>54</v>
      </c>
      <c r="C73" s="327"/>
      <c r="D73" s="327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7"/>
      <c r="T73" s="327"/>
      <c r="U73" s="327"/>
      <c r="V73" s="327"/>
      <c r="W73" s="327"/>
      <c r="X73" s="327"/>
      <c r="Y73" s="327"/>
      <c r="Z73" s="327"/>
      <c r="AA73" s="327"/>
      <c r="AB73" s="327"/>
      <c r="AC73" s="327"/>
      <c r="AD73" s="327"/>
      <c r="AE73" s="327"/>
      <c r="AF73" s="66"/>
    </row>
    <row r="74" spans="1:39" x14ac:dyDescent="0.25">
      <c r="A74" s="65"/>
      <c r="B74" s="51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66"/>
    </row>
    <row r="75" spans="1:39" x14ac:dyDescent="0.25">
      <c r="A75" s="65"/>
      <c r="B75" s="326" t="s">
        <v>55</v>
      </c>
      <c r="C75" s="326"/>
      <c r="D75" s="326"/>
      <c r="E75" s="326"/>
      <c r="F75" s="326"/>
      <c r="G75" s="326"/>
      <c r="H75" s="326"/>
      <c r="I75" s="326"/>
      <c r="J75" s="326"/>
      <c r="K75" s="326"/>
      <c r="L75" s="328">
        <f>+W61</f>
        <v>2558861</v>
      </c>
      <c r="M75" s="328"/>
      <c r="N75" s="328"/>
      <c r="O75" s="328"/>
      <c r="P75" s="51" t="s">
        <v>15</v>
      </c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66"/>
    </row>
    <row r="76" spans="1:39" x14ac:dyDescent="0.25">
      <c r="A76" s="65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25"/>
      <c r="M76" s="125"/>
      <c r="N76" s="125"/>
      <c r="O76" s="125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66"/>
      <c r="AM76" s="1" t="s">
        <v>120</v>
      </c>
    </row>
    <row r="77" spans="1:39" ht="14.4" x14ac:dyDescent="0.3">
      <c r="A77" s="65"/>
      <c r="B77" s="140" t="s">
        <v>56</v>
      </c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342">
        <v>29</v>
      </c>
      <c r="O77" s="342"/>
      <c r="P77" s="130"/>
      <c r="Q77" s="324" t="s">
        <v>157</v>
      </c>
      <c r="R77" s="324"/>
      <c r="S77" s="324"/>
      <c r="T77" s="100"/>
      <c r="U77" s="343">
        <v>2020</v>
      </c>
      <c r="V77" s="343"/>
      <c r="W77" s="103"/>
      <c r="X77" s="103"/>
      <c r="Y77" s="103"/>
      <c r="Z77" s="103"/>
      <c r="AA77" s="103"/>
      <c r="AB77" s="103"/>
      <c r="AC77" s="103"/>
      <c r="AD77" s="103"/>
      <c r="AE77" s="103"/>
      <c r="AF77" s="66"/>
      <c r="AM77" s="1" t="s">
        <v>121</v>
      </c>
    </row>
    <row r="78" spans="1:39" x14ac:dyDescent="0.25">
      <c r="A78" s="65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322" t="s">
        <v>28</v>
      </c>
      <c r="O78" s="322"/>
      <c r="P78" s="116"/>
      <c r="Q78" s="322" t="s">
        <v>29</v>
      </c>
      <c r="R78" s="322"/>
      <c r="S78" s="322"/>
      <c r="T78" s="116"/>
      <c r="U78" s="322" t="s">
        <v>30</v>
      </c>
      <c r="V78" s="322"/>
      <c r="W78" s="101"/>
      <c r="X78" s="101"/>
      <c r="Y78" s="101"/>
      <c r="Z78" s="101"/>
      <c r="AA78" s="101"/>
      <c r="AB78" s="101"/>
      <c r="AC78" s="101"/>
      <c r="AD78" s="101"/>
      <c r="AE78" s="101"/>
      <c r="AF78" s="66"/>
      <c r="AM78" s="1" t="s">
        <v>122</v>
      </c>
    </row>
    <row r="79" spans="1:39" x14ac:dyDescent="0.25">
      <c r="A79" s="65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2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01"/>
      <c r="AB79" s="101"/>
      <c r="AC79" s="101"/>
      <c r="AD79" s="101"/>
      <c r="AE79" s="101"/>
      <c r="AF79" s="66"/>
      <c r="AM79" s="1" t="s">
        <v>123</v>
      </c>
    </row>
    <row r="80" spans="1:39" x14ac:dyDescent="0.25">
      <c r="A80" s="65"/>
      <c r="B80" s="101"/>
      <c r="C80" s="102"/>
      <c r="D80" s="102"/>
      <c r="E80" s="102"/>
      <c r="F80" s="102"/>
      <c r="G80" s="102"/>
      <c r="H80" s="102"/>
      <c r="I80" s="102"/>
      <c r="J80" s="102"/>
      <c r="K80" s="127"/>
      <c r="L80" s="101"/>
      <c r="M80" s="101"/>
      <c r="N80" s="101"/>
      <c r="O80" s="101"/>
      <c r="P80" s="101"/>
      <c r="Q80" s="101"/>
      <c r="R80" s="101"/>
      <c r="S80" s="101"/>
      <c r="T80" s="127"/>
      <c r="U80" s="116"/>
      <c r="V80" s="116"/>
      <c r="W80" s="116"/>
      <c r="X80" s="116"/>
      <c r="Y80" s="116"/>
      <c r="Z80" s="116"/>
      <c r="AA80" s="116"/>
      <c r="AB80" s="116"/>
      <c r="AC80" s="116"/>
      <c r="AD80" s="101"/>
      <c r="AE80" s="101"/>
      <c r="AF80" s="66"/>
      <c r="AM80" s="1" t="s">
        <v>124</v>
      </c>
    </row>
    <row r="81" spans="1:39" ht="14.4" x14ac:dyDescent="0.3">
      <c r="A81" s="65"/>
      <c r="B81" s="101"/>
      <c r="C81" s="102"/>
      <c r="D81" s="102"/>
      <c r="E81" s="102"/>
      <c r="F81" s="102"/>
      <c r="G81" s="102"/>
      <c r="H81" s="102"/>
      <c r="I81" s="102"/>
      <c r="J81" s="102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28"/>
      <c r="V81" s="128"/>
      <c r="W81" s="128"/>
      <c r="X81" s="128"/>
      <c r="Y81" s="128"/>
      <c r="Z81" s="128"/>
      <c r="AA81" s="128"/>
      <c r="AB81" s="128"/>
      <c r="AC81" s="128"/>
      <c r="AD81" s="101"/>
      <c r="AE81" s="101"/>
      <c r="AF81" s="66"/>
      <c r="AM81" s="1" t="s">
        <v>125</v>
      </c>
    </row>
    <row r="82" spans="1:39" ht="15.6" x14ac:dyDescent="0.3">
      <c r="A82" s="65"/>
      <c r="B82" s="101"/>
      <c r="C82" s="102"/>
      <c r="D82" s="102"/>
      <c r="E82" s="102"/>
      <c r="F82" s="102"/>
      <c r="G82" s="102"/>
      <c r="H82" s="102"/>
      <c r="I82" s="102"/>
      <c r="J82" s="102"/>
      <c r="K82" s="129"/>
      <c r="L82" s="321" t="s">
        <v>66</v>
      </c>
      <c r="M82" s="322"/>
      <c r="N82" s="322"/>
      <c r="O82" s="322"/>
      <c r="P82" s="322"/>
      <c r="Q82" s="322"/>
      <c r="R82" s="322"/>
      <c r="S82" s="322"/>
      <c r="T82" s="129"/>
      <c r="U82" s="128"/>
      <c r="V82" s="128"/>
      <c r="W82" s="128"/>
      <c r="X82" s="128"/>
      <c r="Y82" s="128"/>
      <c r="Z82" s="128"/>
      <c r="AA82" s="128"/>
      <c r="AB82" s="128"/>
      <c r="AC82" s="128"/>
      <c r="AD82" s="101"/>
      <c r="AE82" s="101"/>
      <c r="AF82" s="66"/>
      <c r="AM82" s="1" t="s">
        <v>148</v>
      </c>
    </row>
    <row r="83" spans="1:39" ht="14.4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  <c r="AM83" s="1" t="s">
        <v>126</v>
      </c>
    </row>
    <row r="84" spans="1:39" x14ac:dyDescent="0.25">
      <c r="B84" s="46"/>
      <c r="AM84" s="1" t="s">
        <v>127</v>
      </c>
    </row>
    <row r="85" spans="1:39" x14ac:dyDescent="0.25">
      <c r="B85" s="46"/>
      <c r="AM85" s="1" t="s">
        <v>128</v>
      </c>
    </row>
    <row r="86" spans="1:39" x14ac:dyDescent="0.25">
      <c r="B86" s="46"/>
      <c r="AM86" s="1" t="s">
        <v>129</v>
      </c>
    </row>
    <row r="87" spans="1:39" x14ac:dyDescent="0.25">
      <c r="AM87" s="1" t="s">
        <v>130</v>
      </c>
    </row>
  </sheetData>
  <sheetProtection formatCells="0" formatColumns="0" formatRows="0" selectLockedCells="1"/>
  <mergeCells count="171">
    <mergeCell ref="B12:H12"/>
    <mergeCell ref="I12:J12"/>
    <mergeCell ref="K12:N12"/>
    <mergeCell ref="O12:Q12"/>
    <mergeCell ref="B14:H14"/>
    <mergeCell ref="I14:J14"/>
    <mergeCell ref="L14:Q14"/>
    <mergeCell ref="A2:AF2"/>
    <mergeCell ref="B4:AF4"/>
    <mergeCell ref="A6:AF6"/>
    <mergeCell ref="B7:AE7"/>
    <mergeCell ref="B8:H8"/>
    <mergeCell ref="I8:Q8"/>
    <mergeCell ref="S8:T8"/>
    <mergeCell ref="U8:AE15"/>
    <mergeCell ref="B10:H10"/>
    <mergeCell ref="I10:Q10"/>
    <mergeCell ref="A3:AF3"/>
    <mergeCell ref="B16:H16"/>
    <mergeCell ref="I16:Q17"/>
    <mergeCell ref="B18:H18"/>
    <mergeCell ref="I18:Q18"/>
    <mergeCell ref="B25:AE25"/>
    <mergeCell ref="B26:F26"/>
    <mergeCell ref="G26:O26"/>
    <mergeCell ref="P26:Q26"/>
    <mergeCell ref="R26:X26"/>
    <mergeCell ref="Y26:Z26"/>
    <mergeCell ref="B19:AE19"/>
    <mergeCell ref="B21:J21"/>
    <mergeCell ref="K21:S21"/>
    <mergeCell ref="B22:F22"/>
    <mergeCell ref="G22:J22"/>
    <mergeCell ref="K22:N22"/>
    <mergeCell ref="O22:R22"/>
    <mergeCell ref="H29:I29"/>
    <mergeCell ref="B30:I30"/>
    <mergeCell ref="J30:M30"/>
    <mergeCell ref="B32:E32"/>
    <mergeCell ref="F32:I32"/>
    <mergeCell ref="M32:P32"/>
    <mergeCell ref="AA26:AE26"/>
    <mergeCell ref="B28:I28"/>
    <mergeCell ref="J28:M28"/>
    <mergeCell ref="R28:U28"/>
    <mergeCell ref="V28:W28"/>
    <mergeCell ref="X28:Y28"/>
    <mergeCell ref="Q32:T32"/>
    <mergeCell ref="B35:E35"/>
    <mergeCell ref="F35:I35"/>
    <mergeCell ref="M35:P35"/>
    <mergeCell ref="Q35:T35"/>
    <mergeCell ref="B36:E36"/>
    <mergeCell ref="F36:I36"/>
    <mergeCell ref="M36:P36"/>
    <mergeCell ref="Q36:T36"/>
    <mergeCell ref="B33:E33"/>
    <mergeCell ref="F33:I33"/>
    <mergeCell ref="M33:P33"/>
    <mergeCell ref="Q33:T33"/>
    <mergeCell ref="B34:E34"/>
    <mergeCell ref="F34:I34"/>
    <mergeCell ref="M34:P34"/>
    <mergeCell ref="Q34:T34"/>
    <mergeCell ref="B38:AE38"/>
    <mergeCell ref="C40:C46"/>
    <mergeCell ref="D40:G40"/>
    <mergeCell ref="H40:H46"/>
    <mergeCell ref="I40:K40"/>
    <mergeCell ref="L40:L46"/>
    <mergeCell ref="M40:P40"/>
    <mergeCell ref="Q40:Q46"/>
    <mergeCell ref="R40:W40"/>
    <mergeCell ref="X40:X46"/>
    <mergeCell ref="R45:W45"/>
    <mergeCell ref="Y45:AB45"/>
    <mergeCell ref="Y40:AB40"/>
    <mergeCell ref="AC40:AC46"/>
    <mergeCell ref="D41:G41"/>
    <mergeCell ref="I41:K41"/>
    <mergeCell ref="Y41:AB41"/>
    <mergeCell ref="M41:P41"/>
    <mergeCell ref="R41:W41"/>
    <mergeCell ref="T52:W52"/>
    <mergeCell ref="X52:AA52"/>
    <mergeCell ref="E54:F54"/>
    <mergeCell ref="G54:J54"/>
    <mergeCell ref="L54:N54"/>
    <mergeCell ref="O54:R54"/>
    <mergeCell ref="T54:W54"/>
    <mergeCell ref="X54:AA54"/>
    <mergeCell ref="D45:G45"/>
    <mergeCell ref="I45:K45"/>
    <mergeCell ref="M45:P45"/>
    <mergeCell ref="D46:G46"/>
    <mergeCell ref="I46:K46"/>
    <mergeCell ref="M46:P46"/>
    <mergeCell ref="R46:W46"/>
    <mergeCell ref="Y46:AB46"/>
    <mergeCell ref="C70:K70"/>
    <mergeCell ref="L70:N70"/>
    <mergeCell ref="O70:P70"/>
    <mergeCell ref="R70:V70"/>
    <mergeCell ref="B55:AE55"/>
    <mergeCell ref="B57:AE57"/>
    <mergeCell ref="C58:AC58"/>
    <mergeCell ref="C59:D60"/>
    <mergeCell ref="E59:J59"/>
    <mergeCell ref="K59:M60"/>
    <mergeCell ref="N59:P60"/>
    <mergeCell ref="Q59:S60"/>
    <mergeCell ref="T59:V60"/>
    <mergeCell ref="W59:Z60"/>
    <mergeCell ref="AA59:AC60"/>
    <mergeCell ref="E60:G60"/>
    <mergeCell ref="H60:J60"/>
    <mergeCell ref="C64:AC66"/>
    <mergeCell ref="B68:AE68"/>
    <mergeCell ref="B69:AD69"/>
    <mergeCell ref="C61:D61"/>
    <mergeCell ref="E61:G61"/>
    <mergeCell ref="H61:J61"/>
    <mergeCell ref="K61:M61"/>
    <mergeCell ref="W61:Z61"/>
    <mergeCell ref="AA61:AC61"/>
    <mergeCell ref="D42:G42"/>
    <mergeCell ref="D43:G43"/>
    <mergeCell ref="D44:G44"/>
    <mergeCell ref="I42:K42"/>
    <mergeCell ref="I43:K43"/>
    <mergeCell ref="I44:K44"/>
    <mergeCell ref="R42:W42"/>
    <mergeCell ref="R43:W43"/>
    <mergeCell ref="R44:W44"/>
    <mergeCell ref="B48:AE48"/>
    <mergeCell ref="E50:F50"/>
    <mergeCell ref="G50:J50"/>
    <mergeCell ref="K50:K54"/>
    <mergeCell ref="L50:N50"/>
    <mergeCell ref="O50:R50"/>
    <mergeCell ref="S50:S54"/>
    <mergeCell ref="T50:W50"/>
    <mergeCell ref="X50:AA50"/>
    <mergeCell ref="E52:F52"/>
    <mergeCell ref="G52:J52"/>
    <mergeCell ref="L52:N52"/>
    <mergeCell ref="O52:R52"/>
    <mergeCell ref="C62:AC62"/>
    <mergeCell ref="C63:AC63"/>
    <mergeCell ref="N61:P61"/>
    <mergeCell ref="Q61:S61"/>
    <mergeCell ref="Y42:AB42"/>
    <mergeCell ref="Y43:AB43"/>
    <mergeCell ref="Y44:AB44"/>
    <mergeCell ref="L82:S82"/>
    <mergeCell ref="B77:M77"/>
    <mergeCell ref="N77:O77"/>
    <mergeCell ref="U77:V77"/>
    <mergeCell ref="N78:O78"/>
    <mergeCell ref="Q78:S78"/>
    <mergeCell ref="U78:V78"/>
    <mergeCell ref="Q77:S77"/>
    <mergeCell ref="B71:L71"/>
    <mergeCell ref="N71:O71"/>
    <mergeCell ref="Q71:R71"/>
    <mergeCell ref="S71:AC71"/>
    <mergeCell ref="B73:AE73"/>
    <mergeCell ref="B75:K75"/>
    <mergeCell ref="L75:O75"/>
    <mergeCell ref="W70:AD70"/>
    <mergeCell ref="T61:V61"/>
  </mergeCells>
  <dataValidations count="7">
    <dataValidation allowBlank="1" showInputMessage="1" showErrorMessage="1" prompt="AÑO" sqref="O12" xr:uid="{00000000-0002-0000-0200-000000000000}"/>
    <dataValidation type="list" allowBlank="1" showInputMessage="1" showErrorMessage="1" prompt="C.C.:Cédula de Ciudadanía; C.E.:Cédula de Extranjería; NIT.: Número de Identificación Tributaria; PAS.: Pasaporte" sqref="I14:J14" xr:uid="{00000000-0002-0000-0200-000001000000}">
      <formula1>"C.C.,C.E.,NIT.,PAS."</formula1>
    </dataValidation>
    <dataValidation type="list" allowBlank="1" showInputMessage="1" showErrorMessage="1" sqref="AA26:AE26" xr:uid="{00000000-0002-0000-0200-000002000000}">
      <formula1>$AJ$6:$AJ$8</formula1>
    </dataValidation>
    <dataValidation type="list" allowBlank="1" showInputMessage="1" showErrorMessage="1" sqref="N77:O77" xr:uid="{00000000-0002-0000-0200-000003000000}">
      <formula1>$AG$1:$AG$32</formula1>
    </dataValidation>
    <dataValidation type="list" allowBlank="1" showInputMessage="1" showErrorMessage="1" sqref="U77:V77" xr:uid="{00000000-0002-0000-0200-000004000000}">
      <formula1>$AI$1:$AI$4</formula1>
    </dataValidation>
    <dataValidation type="list" allowBlank="1" showInputMessage="1" showErrorMessage="1" sqref="R26:X26" xr:uid="{00000000-0002-0000-0200-000005000000}">
      <formula1>$AI$6:$AI$12</formula1>
    </dataValidation>
    <dataValidation type="list" allowBlank="1" showInputMessage="1" showErrorMessage="1" sqref="Q77:S77" xr:uid="{00000000-0002-0000-0200-000006000000}">
      <formula1>$AH$1:$AH$13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AF86"/>
  <sheetViews>
    <sheetView topLeftCell="B43" zoomScaleNormal="100" zoomScaleSheetLayoutView="80" workbookViewId="0">
      <selection activeCell="AJ70" sqref="AJ70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6.6640625" style="1" customWidth="1"/>
    <col min="31" max="31" width="2" style="1" customWidth="1"/>
    <col min="32" max="32" width="3.109375" style="1" hidden="1" customWidth="1"/>
    <col min="33" max="16384" width="11.44140625" style="1"/>
  </cols>
  <sheetData>
    <row r="1" spans="1:32" ht="14.4" thickBot="1" x14ac:dyDescent="0.3"/>
    <row r="2" spans="1:32" ht="28.5" customHeight="1" thickTop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/>
    </row>
    <row r="3" spans="1:32" ht="17.399999999999999" x14ac:dyDescent="0.25">
      <c r="A3" s="386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387"/>
    </row>
    <row r="4" spans="1:32" ht="17.399999999999999" x14ac:dyDescent="0.25">
      <c r="A4" s="8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388"/>
    </row>
    <row r="5" spans="1:32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1"/>
    </row>
    <row r="6" spans="1:32" ht="16.8" x14ac:dyDescent="0.25">
      <c r="A6" s="389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390"/>
    </row>
    <row r="7" spans="1:32" ht="15.6" x14ac:dyDescent="0.25">
      <c r="A7" s="9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2"/>
    </row>
    <row r="8" spans="1:32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</row>
    <row r="9" spans="1:32" ht="30" customHeight="1" x14ac:dyDescent="0.25">
      <c r="A9" s="2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4"/>
    </row>
    <row r="10" spans="1:32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15"/>
    </row>
    <row r="11" spans="1:32" ht="15" customHeight="1" x14ac:dyDescent="0.25">
      <c r="A11" s="13"/>
      <c r="B11" s="381" t="s">
        <v>18</v>
      </c>
      <c r="C11" s="381"/>
      <c r="D11" s="381"/>
      <c r="E11" s="381"/>
      <c r="F11" s="381"/>
      <c r="G11" s="381"/>
      <c r="H11" s="382"/>
      <c r="I11" s="391" t="s">
        <v>76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15"/>
    </row>
    <row r="12" spans="1:32" x14ac:dyDescent="0.25">
      <c r="A12" s="13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15"/>
    </row>
    <row r="13" spans="1:32" x14ac:dyDescent="0.25">
      <c r="A13" s="13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15"/>
    </row>
    <row r="14" spans="1:32" x14ac:dyDescent="0.25">
      <c r="A14" s="13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15"/>
    </row>
    <row r="15" spans="1:32" x14ac:dyDescent="0.25">
      <c r="A15" s="13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15"/>
    </row>
    <row r="16" spans="1:32" x14ac:dyDescent="0.25">
      <c r="A16" s="13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15"/>
    </row>
    <row r="17" spans="1:32" ht="21" customHeight="1" x14ac:dyDescent="0.25">
      <c r="A17" s="13"/>
      <c r="B17" s="381" t="s">
        <v>58</v>
      </c>
      <c r="C17" s="381"/>
      <c r="D17" s="381"/>
      <c r="E17" s="381"/>
      <c r="F17" s="381"/>
      <c r="G17" s="381"/>
      <c r="H17" s="382"/>
      <c r="I17" s="156" t="s">
        <v>92</v>
      </c>
      <c r="J17" s="156"/>
      <c r="K17" s="156"/>
      <c r="L17" s="156"/>
      <c r="M17" s="156"/>
      <c r="N17" s="156"/>
      <c r="O17" s="156"/>
      <c r="P17" s="156"/>
      <c r="Q17" s="156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</row>
    <row r="18" spans="1:32" x14ac:dyDescent="0.25">
      <c r="A18" s="13"/>
      <c r="B18" s="51"/>
      <c r="C18" s="51"/>
      <c r="D18" s="51"/>
      <c r="E18" s="51"/>
      <c r="F18" s="51"/>
      <c r="G18" s="14"/>
      <c r="H18" s="14"/>
      <c r="I18" s="159"/>
      <c r="J18" s="159"/>
      <c r="K18" s="159"/>
      <c r="L18" s="159"/>
      <c r="M18" s="159"/>
      <c r="N18" s="159"/>
      <c r="O18" s="159"/>
      <c r="P18" s="159"/>
      <c r="Q18" s="159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</row>
    <row r="19" spans="1:32" ht="33.75" customHeight="1" x14ac:dyDescent="0.25">
      <c r="A19" s="13"/>
      <c r="B19" s="381" t="s">
        <v>59</v>
      </c>
      <c r="C19" s="381"/>
      <c r="D19" s="381"/>
      <c r="E19" s="381"/>
      <c r="F19" s="381"/>
      <c r="G19" s="381"/>
      <c r="H19" s="382"/>
      <c r="I19" s="405" t="s">
        <v>93</v>
      </c>
      <c r="J19" s="162"/>
      <c r="K19" s="162"/>
      <c r="L19" s="162"/>
      <c r="M19" s="162"/>
      <c r="N19" s="162"/>
      <c r="O19" s="162"/>
      <c r="P19" s="162"/>
      <c r="Q19" s="163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</row>
    <row r="20" spans="1:32" x14ac:dyDescent="0.25">
      <c r="A20" s="13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</row>
    <row r="21" spans="1:32" ht="15.6" x14ac:dyDescent="0.25">
      <c r="A21" s="9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2"/>
    </row>
    <row r="22" spans="1:32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1"/>
    </row>
    <row r="23" spans="1:32" x14ac:dyDescent="0.25">
      <c r="A23" s="9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20"/>
    </row>
    <row r="24" spans="1:32" x14ac:dyDescent="0.25">
      <c r="A24" s="9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24"/>
    </row>
    <row r="25" spans="1:32" x14ac:dyDescent="0.25">
      <c r="A25" s="9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9</v>
      </c>
      <c r="W25" s="210"/>
      <c r="X25" s="383" t="s">
        <v>39</v>
      </c>
      <c r="Y25" s="307"/>
      <c r="Z25" s="26"/>
      <c r="AA25" s="51" t="s">
        <v>40</v>
      </c>
      <c r="AB25" s="3"/>
      <c r="AC25" s="53"/>
      <c r="AD25" s="53"/>
      <c r="AE25" s="22"/>
      <c r="AF25" s="24"/>
    </row>
    <row r="26" spans="1:32" x14ac:dyDescent="0.25">
      <c r="A26" s="9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11"/>
    </row>
    <row r="27" spans="1:32" x14ac:dyDescent="0.25">
      <c r="A27" s="9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96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11"/>
    </row>
    <row r="28" spans="1:32" ht="14.4" thickBot="1" x14ac:dyDescent="0.3">
      <c r="A28" s="1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15"/>
    </row>
    <row r="29" spans="1:32" ht="14.4" thickTop="1" x14ac:dyDescent="0.25">
      <c r="A29" s="13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4"/>
    </row>
    <row r="30" spans="1:32" x14ac:dyDescent="0.25">
      <c r="A30" s="13"/>
      <c r="B30" s="415" t="s">
        <v>73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4"/>
    </row>
    <row r="31" spans="1:32" x14ac:dyDescent="0.25">
      <c r="A31" s="13"/>
      <c r="B31" s="415" t="s">
        <v>6</v>
      </c>
      <c r="C31" s="416"/>
      <c r="D31" s="416"/>
      <c r="E31" s="416"/>
      <c r="F31" s="213"/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4"/>
    </row>
    <row r="32" spans="1:32" x14ac:dyDescent="0.25">
      <c r="A32" s="13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4"/>
    </row>
    <row r="33" spans="1:32" ht="14.4" thickBot="1" x14ac:dyDescent="0.3">
      <c r="A33" s="13"/>
      <c r="B33" s="420" t="s">
        <v>7</v>
      </c>
      <c r="C33" s="421"/>
      <c r="D33" s="421"/>
      <c r="E33" s="421"/>
      <c r="F33" s="422">
        <f>+F29+F30</f>
        <v>1098832907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4"/>
    </row>
    <row r="34" spans="1:32" ht="14.4" thickTop="1" x14ac:dyDescent="0.25">
      <c r="A34" s="13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4"/>
    </row>
    <row r="35" spans="1:32" ht="15.6" x14ac:dyDescent="0.25">
      <c r="A35" s="9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2"/>
    </row>
    <row r="36" spans="1:32" ht="14.4" thickBot="1" x14ac:dyDescent="0.3">
      <c r="A36" s="1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15"/>
    </row>
    <row r="37" spans="1:32" ht="49.5" customHeight="1" thickTop="1" x14ac:dyDescent="0.25">
      <c r="A37" s="13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15"/>
    </row>
    <row r="38" spans="1:32" x14ac:dyDescent="0.25">
      <c r="A38" s="13"/>
      <c r="B38" s="3"/>
      <c r="C38" s="430"/>
      <c r="D38" s="365">
        <v>42</v>
      </c>
      <c r="E38" s="365"/>
      <c r="F38" s="365"/>
      <c r="G38" s="365"/>
      <c r="H38" s="434"/>
      <c r="I38" s="246" t="s">
        <v>98</v>
      </c>
      <c r="J38" s="246"/>
      <c r="K38" s="246"/>
      <c r="L38" s="434"/>
      <c r="M38" s="247">
        <v>42460</v>
      </c>
      <c r="N38" s="248"/>
      <c r="O38" s="248"/>
      <c r="P38" s="249"/>
      <c r="Q38" s="437"/>
      <c r="R38" s="250" t="s">
        <v>99</v>
      </c>
      <c r="S38" s="250"/>
      <c r="T38" s="250"/>
      <c r="U38" s="250"/>
      <c r="V38" s="250"/>
      <c r="W38" s="250"/>
      <c r="X38" s="437"/>
      <c r="Y38" s="251">
        <f>abril!H2+abril!H3</f>
        <v>53335348.959162131</v>
      </c>
      <c r="Z38" s="251"/>
      <c r="AA38" s="251"/>
      <c r="AB38" s="251"/>
      <c r="AC38" s="440"/>
      <c r="AD38" s="53"/>
      <c r="AE38" s="53"/>
      <c r="AF38" s="15"/>
    </row>
    <row r="39" spans="1:32" x14ac:dyDescent="0.25">
      <c r="A39" s="13"/>
      <c r="B39" s="3"/>
      <c r="C39" s="430"/>
      <c r="D39" s="365">
        <v>42</v>
      </c>
      <c r="E39" s="365"/>
      <c r="F39" s="365"/>
      <c r="G39" s="365"/>
      <c r="H39" s="434"/>
      <c r="I39" s="246" t="s">
        <v>98</v>
      </c>
      <c r="J39" s="246"/>
      <c r="K39" s="246"/>
      <c r="L39" s="434"/>
      <c r="M39" s="247">
        <v>42460</v>
      </c>
      <c r="N39" s="248"/>
      <c r="O39" s="248"/>
      <c r="P39" s="249"/>
      <c r="Q39" s="437"/>
      <c r="R39" s="258" t="s">
        <v>100</v>
      </c>
      <c r="S39" s="258"/>
      <c r="T39" s="258"/>
      <c r="U39" s="258"/>
      <c r="V39" s="258"/>
      <c r="W39" s="258"/>
      <c r="X39" s="437"/>
      <c r="Y39" s="251">
        <f>abril!H4+abril!H5</f>
        <v>61010134.903171241</v>
      </c>
      <c r="Z39" s="251"/>
      <c r="AA39" s="251"/>
      <c r="AB39" s="251"/>
      <c r="AC39" s="440"/>
      <c r="AD39" s="53"/>
      <c r="AE39" s="53"/>
      <c r="AF39" s="15"/>
    </row>
    <row r="40" spans="1:32" x14ac:dyDescent="0.25">
      <c r="A40" s="13"/>
      <c r="B40" s="51"/>
      <c r="C40" s="430"/>
      <c r="D40" s="365">
        <v>42</v>
      </c>
      <c r="E40" s="365"/>
      <c r="F40" s="365"/>
      <c r="G40" s="365"/>
      <c r="H40" s="434"/>
      <c r="I40" s="246" t="s">
        <v>98</v>
      </c>
      <c r="J40" s="246"/>
      <c r="K40" s="246"/>
      <c r="L40" s="434"/>
      <c r="M40" s="247">
        <v>42460</v>
      </c>
      <c r="N40" s="248"/>
      <c r="O40" s="248"/>
      <c r="P40" s="249"/>
      <c r="Q40" s="437"/>
      <c r="R40" s="258" t="s">
        <v>101</v>
      </c>
      <c r="S40" s="258"/>
      <c r="T40" s="258"/>
      <c r="U40" s="258"/>
      <c r="V40" s="258"/>
      <c r="W40" s="258"/>
      <c r="X40" s="437"/>
      <c r="Y40" s="251">
        <f>abril!H6</f>
        <v>7747061.1376666315</v>
      </c>
      <c r="Z40" s="251"/>
      <c r="AA40" s="251"/>
      <c r="AB40" s="251"/>
      <c r="AC40" s="440"/>
      <c r="AD40" s="53"/>
      <c r="AE40" s="53"/>
      <c r="AF40" s="30"/>
    </row>
    <row r="41" spans="1:32" x14ac:dyDescent="0.25">
      <c r="A41" s="13"/>
      <c r="B41" s="51"/>
      <c r="C41" s="430"/>
      <c r="D41" s="365"/>
      <c r="E41" s="365"/>
      <c r="F41" s="365"/>
      <c r="G41" s="365"/>
      <c r="H41" s="434"/>
      <c r="I41" s="442"/>
      <c r="J41" s="442"/>
      <c r="K41" s="442"/>
      <c r="L41" s="434"/>
      <c r="M41" s="443"/>
      <c r="N41" s="248"/>
      <c r="O41" s="248"/>
      <c r="P41" s="249"/>
      <c r="Q41" s="437"/>
      <c r="R41" s="258"/>
      <c r="S41" s="258"/>
      <c r="T41" s="258"/>
      <c r="U41" s="258"/>
      <c r="V41" s="258"/>
      <c r="W41" s="258"/>
      <c r="X41" s="437"/>
      <c r="Y41" s="251"/>
      <c r="Z41" s="251"/>
      <c r="AA41" s="251"/>
      <c r="AB41" s="251"/>
      <c r="AC41" s="440"/>
      <c r="AD41" s="14"/>
      <c r="AE41" s="53"/>
      <c r="AF41" s="15"/>
    </row>
    <row r="42" spans="1:32" ht="14.4" thickBot="1" x14ac:dyDescent="0.3">
      <c r="A42" s="13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15"/>
    </row>
    <row r="43" spans="1:32" ht="14.4" thickTop="1" x14ac:dyDescent="0.25">
      <c r="A43" s="13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15"/>
    </row>
    <row r="44" spans="1:32" ht="15.6" x14ac:dyDescent="0.25">
      <c r="A44" s="9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2"/>
    </row>
    <row r="45" spans="1:32" ht="14.4" thickBot="1" x14ac:dyDescent="0.3">
      <c r="A45" s="9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15"/>
    </row>
    <row r="46" spans="1:32" ht="15" customHeight="1" thickTop="1" x14ac:dyDescent="0.25">
      <c r="A46" s="9"/>
      <c r="B46" s="3"/>
      <c r="C46" s="3"/>
      <c r="D46" s="3"/>
      <c r="E46" s="444" t="s">
        <v>70</v>
      </c>
      <c r="F46" s="445"/>
      <c r="G46" s="267"/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1004582912</v>
      </c>
      <c r="Y46" s="357"/>
      <c r="Z46" s="357"/>
      <c r="AA46" s="358"/>
      <c r="AB46" s="14"/>
      <c r="AC46" s="14"/>
      <c r="AD46" s="14"/>
      <c r="AE46" s="53"/>
      <c r="AF46" s="15"/>
    </row>
    <row r="47" spans="1:32" ht="14.4" thickBot="1" x14ac:dyDescent="0.3">
      <c r="A47" s="9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15"/>
    </row>
    <row r="48" spans="1:32" ht="15" customHeight="1" thickTop="1" x14ac:dyDescent="0.25">
      <c r="A48" s="9"/>
      <c r="B48" s="3"/>
      <c r="C48" s="3"/>
      <c r="D48" s="3"/>
      <c r="E48" s="455" t="s">
        <v>69</v>
      </c>
      <c r="F48" s="456"/>
      <c r="G48" s="281"/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1004582912</v>
      </c>
      <c r="Y48" s="357"/>
      <c r="Z48" s="357"/>
      <c r="AA48" s="358"/>
      <c r="AB48" s="14"/>
      <c r="AC48" s="14"/>
      <c r="AD48" s="14"/>
      <c r="AE48" s="53"/>
      <c r="AF48" s="15"/>
    </row>
    <row r="49" spans="1:32" ht="14.4" thickBot="1" x14ac:dyDescent="0.3">
      <c r="A49" s="9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15"/>
    </row>
    <row r="50" spans="1:32" ht="15" customHeight="1" thickTop="1" thickBot="1" x14ac:dyDescent="0.3">
      <c r="A50" s="9"/>
      <c r="B50" s="3"/>
      <c r="C50" s="3"/>
      <c r="D50" s="3"/>
      <c r="E50" s="460" t="s">
        <v>67</v>
      </c>
      <c r="F50" s="461"/>
      <c r="G50" s="462"/>
      <c r="H50" s="462"/>
      <c r="I50" s="462"/>
      <c r="J50" s="462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1004582912</v>
      </c>
      <c r="Y50" s="357"/>
      <c r="Z50" s="357"/>
      <c r="AA50" s="358"/>
      <c r="AB50" s="14"/>
      <c r="AC50" s="14"/>
      <c r="AD50" s="14"/>
      <c r="AE50" s="53"/>
      <c r="AF50" s="15"/>
    </row>
    <row r="51" spans="1:32" ht="14.4" thickTop="1" x14ac:dyDescent="0.25">
      <c r="A51" s="9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15"/>
    </row>
    <row r="52" spans="1:32" x14ac:dyDescent="0.25">
      <c r="A52" s="9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5"/>
    </row>
    <row r="53" spans="1:32" ht="15.6" x14ac:dyDescent="0.25">
      <c r="A53" s="9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11"/>
    </row>
    <row r="54" spans="1:32" x14ac:dyDescent="0.25">
      <c r="A54" s="9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11"/>
    </row>
    <row r="55" spans="1:32" s="39" customFormat="1" ht="15" customHeight="1" x14ac:dyDescent="0.3">
      <c r="A55" s="37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11"/>
    </row>
    <row r="56" spans="1:32" s="39" customFormat="1" x14ac:dyDescent="0.3">
      <c r="A56" s="37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11"/>
    </row>
    <row r="57" spans="1:32" s="39" customFormat="1" x14ac:dyDescent="0.25">
      <c r="A57" s="37"/>
      <c r="B57" s="38"/>
      <c r="C57" s="329">
        <v>1</v>
      </c>
      <c r="D57" s="330"/>
      <c r="E57" s="359">
        <v>42461</v>
      </c>
      <c r="F57" s="360"/>
      <c r="G57" s="361"/>
      <c r="H57" s="359">
        <v>42490</v>
      </c>
      <c r="I57" s="360"/>
      <c r="J57" s="361"/>
      <c r="K57" s="362">
        <v>0.11</v>
      </c>
      <c r="L57" s="363"/>
      <c r="M57" s="364"/>
      <c r="N57" s="310">
        <v>0</v>
      </c>
      <c r="O57" s="340"/>
      <c r="P57" s="341"/>
      <c r="Q57" s="345">
        <v>120169825</v>
      </c>
      <c r="R57" s="346"/>
      <c r="S57" s="347"/>
      <c r="T57" s="345">
        <v>1922720</v>
      </c>
      <c r="U57" s="346"/>
      <c r="V57" s="347"/>
      <c r="W57" s="476">
        <f>+Q57+T57</f>
        <v>122092545</v>
      </c>
      <c r="X57" s="477"/>
      <c r="Y57" s="477"/>
      <c r="Z57" s="478"/>
      <c r="AA57" s="476">
        <f>F33-N57-W57</f>
        <v>976740362</v>
      </c>
      <c r="AB57" s="477"/>
      <c r="AC57" s="478"/>
      <c r="AD57" s="38"/>
      <c r="AE57" s="10"/>
      <c r="AF57" s="11"/>
    </row>
    <row r="58" spans="1:32" s="39" customFormat="1" x14ac:dyDescent="0.3">
      <c r="A58" s="37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11"/>
    </row>
    <row r="59" spans="1:32" x14ac:dyDescent="0.25">
      <c r="A59" s="9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11"/>
    </row>
    <row r="60" spans="1:32" ht="15" customHeight="1" x14ac:dyDescent="0.25">
      <c r="A60" s="9"/>
      <c r="B60" s="10"/>
      <c r="C60" s="319" t="s">
        <v>103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11"/>
    </row>
    <row r="61" spans="1:32" x14ac:dyDescent="0.25">
      <c r="A61" s="9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11"/>
    </row>
    <row r="62" spans="1:32" x14ac:dyDescent="0.25">
      <c r="A62" s="9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11"/>
    </row>
    <row r="63" spans="1:32" x14ac:dyDescent="0.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1"/>
    </row>
    <row r="64" spans="1:32" ht="15.6" x14ac:dyDescent="0.25">
      <c r="A64" s="9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11"/>
    </row>
    <row r="65" spans="1:32" x14ac:dyDescent="0.2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5"/>
    </row>
    <row r="66" spans="1:32" x14ac:dyDescent="0.25">
      <c r="A66" s="13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15"/>
    </row>
    <row r="67" spans="1:32" x14ac:dyDescent="0.25">
      <c r="A67" s="2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4"/>
    </row>
    <row r="68" spans="1:32" x14ac:dyDescent="0.25">
      <c r="A68" s="13"/>
      <c r="B68" s="344" t="str">
        <f>+I11</f>
        <v>INTERVENTORIA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40"/>
    </row>
    <row r="69" spans="1:32" x14ac:dyDescent="0.25">
      <c r="A69" s="13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15"/>
    </row>
    <row r="70" spans="1:32" ht="32.25" customHeight="1" x14ac:dyDescent="0.25">
      <c r="A70" s="13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15"/>
    </row>
    <row r="71" spans="1:32" x14ac:dyDescent="0.25">
      <c r="A71" s="13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15"/>
    </row>
    <row r="72" spans="1:32" x14ac:dyDescent="0.25">
      <c r="A72" s="13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122092545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15"/>
    </row>
    <row r="73" spans="1:32" x14ac:dyDescent="0.25">
      <c r="A73" s="13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15"/>
    </row>
    <row r="74" spans="1:32" x14ac:dyDescent="0.25">
      <c r="A74" s="13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5</v>
      </c>
      <c r="O74" s="342"/>
      <c r="P74" s="51"/>
      <c r="Q74" s="48"/>
      <c r="R74" s="48">
        <v>5</v>
      </c>
      <c r="S74" s="48"/>
      <c r="T74" s="3"/>
      <c r="U74" s="343">
        <v>2016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15"/>
    </row>
    <row r="75" spans="1:32" x14ac:dyDescent="0.25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15"/>
    </row>
    <row r="76" spans="1:32" x14ac:dyDescent="0.25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15"/>
    </row>
    <row r="77" spans="1:32" x14ac:dyDescent="0.25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15"/>
    </row>
    <row r="78" spans="1:32" x14ac:dyDescent="0.25">
      <c r="A78" s="13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5"/>
    </row>
    <row r="79" spans="1:32" ht="15.6" x14ac:dyDescent="0.25">
      <c r="A79" s="13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87"/>
    </row>
    <row r="80" spans="1:32" x14ac:dyDescent="0.25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486"/>
      <c r="L80" s="486"/>
      <c r="M80" s="486"/>
      <c r="N80" s="486"/>
      <c r="O80" s="486"/>
      <c r="P80" s="486"/>
      <c r="Q80" s="486"/>
      <c r="R80" s="486"/>
      <c r="S80" s="486"/>
      <c r="T80" s="486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15"/>
    </row>
    <row r="81" spans="1:32" x14ac:dyDescent="0.25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15"/>
    </row>
    <row r="82" spans="1:32" ht="15.6" x14ac:dyDescent="0.25">
      <c r="A82" s="13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15"/>
    </row>
    <row r="83" spans="1:32" ht="14.4" thickBot="1" x14ac:dyDescent="0.3">
      <c r="A83" s="43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5"/>
    </row>
    <row r="84" spans="1:32" ht="14.4" thickTop="1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5">
    <mergeCell ref="B78:J78"/>
    <mergeCell ref="B79:J79"/>
    <mergeCell ref="U79:AF79"/>
    <mergeCell ref="K80:T80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Q74" xr:uid="{00000000-0002-0000-0300-000000000000}">
      <formula1>#REF!</formula1>
    </dataValidation>
    <dataValidation allowBlank="1" showInputMessage="1" showErrorMessage="1" prompt="AÑO" sqref="O13" xr:uid="{00000000-0002-0000-03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300-000002000000}">
      <formula1>"C.C.,C.E.,NIT.,PAS."</formula1>
    </dataValidation>
    <dataValidation type="list" allowBlank="1" showInputMessage="1" showErrorMessage="1" sqref="R23" xr:uid="{00000000-0002-0000-0300-000003000000}">
      <formula1>"Banco de Bogotá, Bancolombia, Banco Pupular"</formula1>
    </dataValidation>
    <dataValidation type="list" allowBlank="1" showInputMessage="1" showErrorMessage="1" sqref="AA23:AE23" xr:uid="{00000000-0002-0000-03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paperSize="9"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H9"/>
  <sheetViews>
    <sheetView workbookViewId="0">
      <selection activeCell="H6" sqref="H6"/>
    </sheetView>
  </sheetViews>
  <sheetFormatPr baseColWidth="10" defaultRowHeight="14.4" x14ac:dyDescent="0.3"/>
  <cols>
    <col min="1" max="1" width="16.6640625" bestFit="1" customWidth="1"/>
    <col min="5" max="5" width="13.109375" bestFit="1" customWidth="1"/>
    <col min="8" max="8" width="14.109375" bestFit="1" customWidth="1"/>
  </cols>
  <sheetData>
    <row r="1" spans="1:8" x14ac:dyDescent="0.3">
      <c r="D1" t="s">
        <v>87</v>
      </c>
      <c r="E1" t="s">
        <v>88</v>
      </c>
    </row>
    <row r="2" spans="1:8" x14ac:dyDescent="0.3">
      <c r="A2" s="75">
        <v>26695696</v>
      </c>
      <c r="B2" t="s">
        <v>80</v>
      </c>
      <c r="D2" s="79">
        <f>A2/A7</f>
        <v>0.22214974516273117</v>
      </c>
      <c r="E2" s="76">
        <f>D2*A8</f>
        <v>427131.7580192865</v>
      </c>
      <c r="H2" s="76">
        <f>A2+E2</f>
        <v>27122827.758019287</v>
      </c>
    </row>
    <row r="3" spans="1:8" x14ac:dyDescent="0.3">
      <c r="A3" s="75">
        <v>25799725</v>
      </c>
      <c r="B3" t="s">
        <v>81</v>
      </c>
      <c r="D3" s="79">
        <f>A3/A7</f>
        <v>0.2146938717768791</v>
      </c>
      <c r="E3" s="76">
        <f>A8*D3</f>
        <v>412796.20114284096</v>
      </c>
      <c r="H3" s="76">
        <f>A3+E3</f>
        <v>26212521.20114284</v>
      </c>
    </row>
    <row r="4" spans="1:8" x14ac:dyDescent="0.3">
      <c r="A4" s="75">
        <v>53375420</v>
      </c>
      <c r="B4" t="s">
        <v>82</v>
      </c>
      <c r="D4" s="79">
        <f>A4/A7</f>
        <v>0.44416657842349361</v>
      </c>
      <c r="E4" s="76">
        <f>A8*D4</f>
        <v>854007.96366641962</v>
      </c>
      <c r="H4" s="76">
        <f>A4+E4</f>
        <v>54229427.963666417</v>
      </c>
    </row>
    <row r="5" spans="1:8" x14ac:dyDescent="0.3">
      <c r="A5" s="75">
        <v>6673924</v>
      </c>
      <c r="B5" t="s">
        <v>82</v>
      </c>
      <c r="D5" s="79">
        <f>A5/A7</f>
        <v>5.5537436290682793E-2</v>
      </c>
      <c r="E5" s="76">
        <f>A8*D5</f>
        <v>106782.93950482162</v>
      </c>
      <c r="H5" s="76">
        <f>A5+E5</f>
        <v>6780706.9395048218</v>
      </c>
    </row>
    <row r="6" spans="1:8" x14ac:dyDescent="0.3">
      <c r="A6" s="75">
        <v>7625060</v>
      </c>
      <c r="B6" t="s">
        <v>83</v>
      </c>
      <c r="D6" s="79">
        <f>A6/A7</f>
        <v>6.3452368346213373E-2</v>
      </c>
      <c r="E6" s="76">
        <f>A8*D6</f>
        <v>122001.13766663137</v>
      </c>
      <c r="H6" s="76">
        <f>A6+E6</f>
        <v>7747061.1376666315</v>
      </c>
    </row>
    <row r="7" spans="1:8" x14ac:dyDescent="0.3">
      <c r="A7" s="78">
        <f>SUM(A2:A6)</f>
        <v>120169825</v>
      </c>
      <c r="B7" t="s">
        <v>86</v>
      </c>
      <c r="D7" s="79">
        <f>SUM(D2:D6)</f>
        <v>1</v>
      </c>
      <c r="E7" s="76">
        <f>SUM(E2:E6)</f>
        <v>1922720</v>
      </c>
    </row>
    <row r="8" spans="1:8" x14ac:dyDescent="0.3">
      <c r="A8" s="75">
        <v>1922720</v>
      </c>
      <c r="B8" t="s">
        <v>84</v>
      </c>
    </row>
    <row r="9" spans="1:8" x14ac:dyDescent="0.3">
      <c r="A9" s="77">
        <f>A7+A8</f>
        <v>122092545</v>
      </c>
      <c r="B9" t="s">
        <v>85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F86"/>
  <sheetViews>
    <sheetView topLeftCell="A32" zoomScaleNormal="100" zoomScaleSheetLayoutView="80" workbookViewId="0">
      <selection activeCell="J75" sqref="J75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6.6640625" style="1" customWidth="1"/>
    <col min="31" max="31" width="2" style="1" customWidth="1"/>
    <col min="32" max="32" width="3.109375" style="1" hidden="1" customWidth="1"/>
    <col min="33" max="16384" width="11.44140625" style="1"/>
  </cols>
  <sheetData>
    <row r="1" spans="1:32" ht="14.4" thickBot="1" x14ac:dyDescent="0.3"/>
    <row r="2" spans="1:32" ht="28.5" customHeight="1" thickTop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/>
    </row>
    <row r="3" spans="1:32" ht="17.399999999999999" x14ac:dyDescent="0.25">
      <c r="A3" s="386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387"/>
    </row>
    <row r="4" spans="1:32" ht="17.399999999999999" x14ac:dyDescent="0.25">
      <c r="A4" s="8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388"/>
    </row>
    <row r="5" spans="1:32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1"/>
    </row>
    <row r="6" spans="1:32" ht="16.8" x14ac:dyDescent="0.25">
      <c r="A6" s="389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390"/>
    </row>
    <row r="7" spans="1:32" ht="15.6" x14ac:dyDescent="0.25">
      <c r="A7" s="9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2"/>
    </row>
    <row r="8" spans="1:32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</row>
    <row r="9" spans="1:32" ht="30" customHeight="1" x14ac:dyDescent="0.25">
      <c r="A9" s="2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4"/>
    </row>
    <row r="10" spans="1:32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15"/>
    </row>
    <row r="11" spans="1:32" ht="15" customHeight="1" x14ac:dyDescent="0.25">
      <c r="A11" s="13"/>
      <c r="B11" s="381" t="s">
        <v>18</v>
      </c>
      <c r="C11" s="381"/>
      <c r="D11" s="381"/>
      <c r="E11" s="381"/>
      <c r="F11" s="381"/>
      <c r="G11" s="381"/>
      <c r="H11" s="382"/>
      <c r="I11" s="391" t="s">
        <v>76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15"/>
    </row>
    <row r="12" spans="1:32" x14ac:dyDescent="0.25">
      <c r="A12" s="13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15"/>
    </row>
    <row r="13" spans="1:32" x14ac:dyDescent="0.25">
      <c r="A13" s="13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15"/>
    </row>
    <row r="14" spans="1:32" x14ac:dyDescent="0.25">
      <c r="A14" s="13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15"/>
    </row>
    <row r="15" spans="1:32" x14ac:dyDescent="0.25">
      <c r="A15" s="13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15"/>
    </row>
    <row r="16" spans="1:32" x14ac:dyDescent="0.25">
      <c r="A16" s="13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15"/>
    </row>
    <row r="17" spans="1:32" ht="21" customHeight="1" x14ac:dyDescent="0.25">
      <c r="A17" s="13"/>
      <c r="B17" s="381" t="s">
        <v>58</v>
      </c>
      <c r="C17" s="381"/>
      <c r="D17" s="381"/>
      <c r="E17" s="381"/>
      <c r="F17" s="381"/>
      <c r="G17" s="381"/>
      <c r="H17" s="382"/>
      <c r="I17" s="156" t="s">
        <v>92</v>
      </c>
      <c r="J17" s="156"/>
      <c r="K17" s="156"/>
      <c r="L17" s="156"/>
      <c r="M17" s="156"/>
      <c r="N17" s="156"/>
      <c r="O17" s="156"/>
      <c r="P17" s="156"/>
      <c r="Q17" s="156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</row>
    <row r="18" spans="1:32" x14ac:dyDescent="0.25">
      <c r="A18" s="13"/>
      <c r="B18" s="51"/>
      <c r="C18" s="51"/>
      <c r="D18" s="51"/>
      <c r="E18" s="51"/>
      <c r="F18" s="51"/>
      <c r="G18" s="14"/>
      <c r="H18" s="14"/>
      <c r="I18" s="159"/>
      <c r="J18" s="159"/>
      <c r="K18" s="159"/>
      <c r="L18" s="159"/>
      <c r="M18" s="159"/>
      <c r="N18" s="159"/>
      <c r="O18" s="159"/>
      <c r="P18" s="159"/>
      <c r="Q18" s="159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</row>
    <row r="19" spans="1:32" ht="33.75" customHeight="1" x14ac:dyDescent="0.25">
      <c r="A19" s="13"/>
      <c r="B19" s="381" t="s">
        <v>59</v>
      </c>
      <c r="C19" s="381"/>
      <c r="D19" s="381"/>
      <c r="E19" s="381"/>
      <c r="F19" s="381"/>
      <c r="G19" s="381"/>
      <c r="H19" s="382"/>
      <c r="I19" s="405" t="s">
        <v>93</v>
      </c>
      <c r="J19" s="162"/>
      <c r="K19" s="162"/>
      <c r="L19" s="162"/>
      <c r="M19" s="162"/>
      <c r="N19" s="162"/>
      <c r="O19" s="162"/>
      <c r="P19" s="162"/>
      <c r="Q19" s="163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</row>
    <row r="20" spans="1:32" x14ac:dyDescent="0.25">
      <c r="A20" s="13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</row>
    <row r="21" spans="1:32" ht="15.6" x14ac:dyDescent="0.25">
      <c r="A21" s="9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2"/>
    </row>
    <row r="22" spans="1:32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1"/>
    </row>
    <row r="23" spans="1:32" x14ac:dyDescent="0.25">
      <c r="A23" s="9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20"/>
    </row>
    <row r="24" spans="1:32" x14ac:dyDescent="0.25">
      <c r="A24" s="9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24"/>
    </row>
    <row r="25" spans="1:32" x14ac:dyDescent="0.25">
      <c r="A25" s="9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9</v>
      </c>
      <c r="W25" s="210"/>
      <c r="X25" s="383" t="s">
        <v>39</v>
      </c>
      <c r="Y25" s="307"/>
      <c r="Z25" s="26"/>
      <c r="AA25" s="51" t="s">
        <v>40</v>
      </c>
      <c r="AB25" s="3"/>
      <c r="AC25" s="53"/>
      <c r="AD25" s="53"/>
      <c r="AE25" s="22"/>
      <c r="AF25" s="24"/>
    </row>
    <row r="26" spans="1:32" x14ac:dyDescent="0.25">
      <c r="A26" s="9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11"/>
    </row>
    <row r="27" spans="1:32" x14ac:dyDescent="0.25">
      <c r="A27" s="9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96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11"/>
    </row>
    <row r="28" spans="1:32" ht="14.4" thickBot="1" x14ac:dyDescent="0.3">
      <c r="A28" s="1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15"/>
    </row>
    <row r="29" spans="1:32" ht="14.4" thickTop="1" x14ac:dyDescent="0.25">
      <c r="A29" s="13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4"/>
    </row>
    <row r="30" spans="1:32" x14ac:dyDescent="0.25">
      <c r="A30" s="13"/>
      <c r="B30" s="415" t="s">
        <v>73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4"/>
    </row>
    <row r="31" spans="1:32" x14ac:dyDescent="0.25">
      <c r="A31" s="13"/>
      <c r="B31" s="415" t="s">
        <v>6</v>
      </c>
      <c r="C31" s="416"/>
      <c r="D31" s="416"/>
      <c r="E31" s="416"/>
      <c r="F31" s="213"/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4"/>
    </row>
    <row r="32" spans="1:32" x14ac:dyDescent="0.25">
      <c r="A32" s="13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4"/>
    </row>
    <row r="33" spans="1:32" ht="14.4" thickBot="1" x14ac:dyDescent="0.3">
      <c r="A33" s="13"/>
      <c r="B33" s="420" t="s">
        <v>7</v>
      </c>
      <c r="C33" s="421"/>
      <c r="D33" s="421"/>
      <c r="E33" s="421"/>
      <c r="F33" s="422">
        <f>+F29+F30</f>
        <v>1098832907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4"/>
    </row>
    <row r="34" spans="1:32" ht="14.4" thickTop="1" x14ac:dyDescent="0.25">
      <c r="A34" s="13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4"/>
    </row>
    <row r="35" spans="1:32" ht="15.6" x14ac:dyDescent="0.25">
      <c r="A35" s="9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2"/>
    </row>
    <row r="36" spans="1:32" ht="14.4" thickBot="1" x14ac:dyDescent="0.3">
      <c r="A36" s="1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15"/>
    </row>
    <row r="37" spans="1:32" ht="49.5" customHeight="1" thickTop="1" x14ac:dyDescent="0.25">
      <c r="A37" s="13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15"/>
    </row>
    <row r="38" spans="1:32" x14ac:dyDescent="0.25">
      <c r="A38" s="13"/>
      <c r="B38" s="3"/>
      <c r="C38" s="430"/>
      <c r="D38" s="365">
        <v>42</v>
      </c>
      <c r="E38" s="365"/>
      <c r="F38" s="365"/>
      <c r="G38" s="365"/>
      <c r="H38" s="434"/>
      <c r="I38" s="246" t="s">
        <v>98</v>
      </c>
      <c r="J38" s="246"/>
      <c r="K38" s="246"/>
      <c r="L38" s="434"/>
      <c r="M38" s="247">
        <v>42460</v>
      </c>
      <c r="N38" s="248"/>
      <c r="O38" s="248"/>
      <c r="P38" s="249"/>
      <c r="Q38" s="437"/>
      <c r="R38" s="250" t="s">
        <v>99</v>
      </c>
      <c r="S38" s="250"/>
      <c r="T38" s="250"/>
      <c r="U38" s="250"/>
      <c r="V38" s="250"/>
      <c r="W38" s="250"/>
      <c r="X38" s="437"/>
      <c r="Y38" s="251">
        <f>abril!H2+abril!H3</f>
        <v>53335348.959162131</v>
      </c>
      <c r="Z38" s="251"/>
      <c r="AA38" s="251"/>
      <c r="AB38" s="251"/>
      <c r="AC38" s="440"/>
      <c r="AD38" s="53"/>
      <c r="AE38" s="53"/>
      <c r="AF38" s="15"/>
    </row>
    <row r="39" spans="1:32" x14ac:dyDescent="0.25">
      <c r="A39" s="13"/>
      <c r="B39" s="3"/>
      <c r="C39" s="430"/>
      <c r="D39" s="365">
        <v>42</v>
      </c>
      <c r="E39" s="365"/>
      <c r="F39" s="365"/>
      <c r="G39" s="365"/>
      <c r="H39" s="434"/>
      <c r="I39" s="246" t="s">
        <v>98</v>
      </c>
      <c r="J39" s="246"/>
      <c r="K39" s="246"/>
      <c r="L39" s="434"/>
      <c r="M39" s="247">
        <v>42460</v>
      </c>
      <c r="N39" s="248"/>
      <c r="O39" s="248"/>
      <c r="P39" s="249"/>
      <c r="Q39" s="437"/>
      <c r="R39" s="258" t="s">
        <v>100</v>
      </c>
      <c r="S39" s="258"/>
      <c r="T39" s="258"/>
      <c r="U39" s="258"/>
      <c r="V39" s="258"/>
      <c r="W39" s="258"/>
      <c r="X39" s="437"/>
      <c r="Y39" s="251">
        <f>abril!H4+abril!H5</f>
        <v>61010134.903171241</v>
      </c>
      <c r="Z39" s="251"/>
      <c r="AA39" s="251"/>
      <c r="AB39" s="251"/>
      <c r="AC39" s="440"/>
      <c r="AD39" s="53"/>
      <c r="AE39" s="53"/>
      <c r="AF39" s="15"/>
    </row>
    <row r="40" spans="1:32" x14ac:dyDescent="0.25">
      <c r="A40" s="13"/>
      <c r="B40" s="51"/>
      <c r="C40" s="430"/>
      <c r="D40" s="365">
        <v>42</v>
      </c>
      <c r="E40" s="365"/>
      <c r="F40" s="365"/>
      <c r="G40" s="365"/>
      <c r="H40" s="434"/>
      <c r="I40" s="246" t="s">
        <v>98</v>
      </c>
      <c r="J40" s="246"/>
      <c r="K40" s="246"/>
      <c r="L40" s="434"/>
      <c r="M40" s="247">
        <v>42460</v>
      </c>
      <c r="N40" s="248"/>
      <c r="O40" s="248"/>
      <c r="P40" s="249"/>
      <c r="Q40" s="437"/>
      <c r="R40" s="258" t="s">
        <v>101</v>
      </c>
      <c r="S40" s="258"/>
      <c r="T40" s="258"/>
      <c r="U40" s="258"/>
      <c r="V40" s="258"/>
      <c r="W40" s="258"/>
      <c r="X40" s="437"/>
      <c r="Y40" s="251">
        <f>abril!H6</f>
        <v>7747061.1376666315</v>
      </c>
      <c r="Z40" s="251"/>
      <c r="AA40" s="251"/>
      <c r="AB40" s="251"/>
      <c r="AC40" s="440"/>
      <c r="AD40" s="53"/>
      <c r="AE40" s="53"/>
      <c r="AF40" s="30"/>
    </row>
    <row r="41" spans="1:32" x14ac:dyDescent="0.25">
      <c r="A41" s="13"/>
      <c r="B41" s="51"/>
      <c r="C41" s="430"/>
      <c r="D41" s="365"/>
      <c r="E41" s="365"/>
      <c r="F41" s="365"/>
      <c r="G41" s="365"/>
      <c r="H41" s="434"/>
      <c r="I41" s="442"/>
      <c r="J41" s="442"/>
      <c r="K41" s="442"/>
      <c r="L41" s="434"/>
      <c r="M41" s="443"/>
      <c r="N41" s="248"/>
      <c r="O41" s="248"/>
      <c r="P41" s="249"/>
      <c r="Q41" s="437"/>
      <c r="R41" s="258"/>
      <c r="S41" s="258"/>
      <c r="T41" s="258"/>
      <c r="U41" s="258"/>
      <c r="V41" s="258"/>
      <c r="W41" s="258"/>
      <c r="X41" s="437"/>
      <c r="Y41" s="251"/>
      <c r="Z41" s="251"/>
      <c r="AA41" s="251"/>
      <c r="AB41" s="251"/>
      <c r="AC41" s="440"/>
      <c r="AD41" s="14"/>
      <c r="AE41" s="53"/>
      <c r="AF41" s="15"/>
    </row>
    <row r="42" spans="1:32" ht="14.4" thickBot="1" x14ac:dyDescent="0.3">
      <c r="A42" s="13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15"/>
    </row>
    <row r="43" spans="1:32" ht="14.4" thickTop="1" x14ac:dyDescent="0.25">
      <c r="A43" s="13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15"/>
    </row>
    <row r="44" spans="1:32" ht="15.6" x14ac:dyDescent="0.25">
      <c r="A44" s="9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2"/>
    </row>
    <row r="45" spans="1:32" ht="14.4" thickBot="1" x14ac:dyDescent="0.3">
      <c r="A45" s="9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15"/>
    </row>
    <row r="46" spans="1:32" ht="15" customHeight="1" thickTop="1" x14ac:dyDescent="0.25">
      <c r="A46" s="9"/>
      <c r="B46" s="3"/>
      <c r="C46" s="3"/>
      <c r="D46" s="3"/>
      <c r="E46" s="444" t="s">
        <v>70</v>
      </c>
      <c r="F46" s="445"/>
      <c r="G46" s="267"/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1004582912</v>
      </c>
      <c r="Y46" s="357"/>
      <c r="Z46" s="357"/>
      <c r="AA46" s="358"/>
      <c r="AB46" s="14"/>
      <c r="AC46" s="14"/>
      <c r="AD46" s="14"/>
      <c r="AE46" s="53"/>
      <c r="AF46" s="15"/>
    </row>
    <row r="47" spans="1:32" ht="14.4" thickBot="1" x14ac:dyDescent="0.3">
      <c r="A47" s="9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15"/>
    </row>
    <row r="48" spans="1:32" ht="15" customHeight="1" thickTop="1" x14ac:dyDescent="0.25">
      <c r="A48" s="9"/>
      <c r="B48" s="3"/>
      <c r="C48" s="3"/>
      <c r="D48" s="3"/>
      <c r="E48" s="455" t="s">
        <v>69</v>
      </c>
      <c r="F48" s="456"/>
      <c r="G48" s="281"/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1004582912</v>
      </c>
      <c r="Y48" s="357"/>
      <c r="Z48" s="357"/>
      <c r="AA48" s="358"/>
      <c r="AB48" s="14"/>
      <c r="AC48" s="14"/>
      <c r="AD48" s="14"/>
      <c r="AE48" s="53"/>
      <c r="AF48" s="15"/>
    </row>
    <row r="49" spans="1:32" ht="14.4" thickBot="1" x14ac:dyDescent="0.3">
      <c r="A49" s="9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15"/>
    </row>
    <row r="50" spans="1:32" ht="15" customHeight="1" thickTop="1" thickBot="1" x14ac:dyDescent="0.3">
      <c r="A50" s="9"/>
      <c r="B50" s="3"/>
      <c r="C50" s="3"/>
      <c r="D50" s="3"/>
      <c r="E50" s="460" t="s">
        <v>67</v>
      </c>
      <c r="F50" s="461"/>
      <c r="G50" s="462"/>
      <c r="H50" s="462"/>
      <c r="I50" s="462"/>
      <c r="J50" s="462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1004582912</v>
      </c>
      <c r="Y50" s="357"/>
      <c r="Z50" s="357"/>
      <c r="AA50" s="358"/>
      <c r="AB50" s="14"/>
      <c r="AC50" s="14"/>
      <c r="AD50" s="14"/>
      <c r="AE50" s="53"/>
      <c r="AF50" s="15"/>
    </row>
    <row r="51" spans="1:32" ht="14.4" thickTop="1" x14ac:dyDescent="0.25">
      <c r="A51" s="9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15"/>
    </row>
    <row r="52" spans="1:32" x14ac:dyDescent="0.25">
      <c r="A52" s="9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5"/>
    </row>
    <row r="53" spans="1:32" ht="15.6" x14ac:dyDescent="0.25">
      <c r="A53" s="9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11"/>
    </row>
    <row r="54" spans="1:32" x14ac:dyDescent="0.25">
      <c r="A54" s="9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11"/>
    </row>
    <row r="55" spans="1:32" s="39" customFormat="1" ht="15" customHeight="1" x14ac:dyDescent="0.3">
      <c r="A55" s="37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11"/>
    </row>
    <row r="56" spans="1:32" s="39" customFormat="1" x14ac:dyDescent="0.3">
      <c r="A56" s="37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11"/>
    </row>
    <row r="57" spans="1:32" s="39" customFormat="1" x14ac:dyDescent="0.25">
      <c r="A57" s="37"/>
      <c r="B57" s="38"/>
      <c r="C57" s="329">
        <v>1</v>
      </c>
      <c r="D57" s="330"/>
      <c r="E57" s="359">
        <v>42491</v>
      </c>
      <c r="F57" s="360"/>
      <c r="G57" s="361"/>
      <c r="H57" s="359">
        <v>42521</v>
      </c>
      <c r="I57" s="360"/>
      <c r="J57" s="361"/>
      <c r="K57" s="362">
        <v>0.22220000000000001</v>
      </c>
      <c r="L57" s="363"/>
      <c r="M57" s="364"/>
      <c r="N57" s="310">
        <f>Y38+Y39+Y40</f>
        <v>122092545</v>
      </c>
      <c r="O57" s="340"/>
      <c r="P57" s="341"/>
      <c r="Q57" s="345">
        <v>120169825</v>
      </c>
      <c r="R57" s="346"/>
      <c r="S57" s="347"/>
      <c r="T57" s="345">
        <v>1922720</v>
      </c>
      <c r="U57" s="346"/>
      <c r="V57" s="347"/>
      <c r="W57" s="476">
        <f>+Q57+T57</f>
        <v>122092545</v>
      </c>
      <c r="X57" s="477"/>
      <c r="Y57" s="477"/>
      <c r="Z57" s="478"/>
      <c r="AA57" s="476">
        <f>F33-N57-W57</f>
        <v>854647817</v>
      </c>
      <c r="AB57" s="477"/>
      <c r="AC57" s="478"/>
      <c r="AD57" s="38"/>
      <c r="AE57" s="10"/>
      <c r="AF57" s="11"/>
    </row>
    <row r="58" spans="1:32" s="39" customFormat="1" x14ac:dyDescent="0.3">
      <c r="A58" s="37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11"/>
    </row>
    <row r="59" spans="1:32" x14ac:dyDescent="0.25">
      <c r="A59" s="9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11"/>
    </row>
    <row r="60" spans="1:32" ht="15" customHeight="1" x14ac:dyDescent="0.25">
      <c r="A60" s="9"/>
      <c r="B60" s="10"/>
      <c r="C60" s="319" t="s">
        <v>102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11"/>
    </row>
    <row r="61" spans="1:32" x14ac:dyDescent="0.25">
      <c r="A61" s="9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11"/>
    </row>
    <row r="62" spans="1:32" x14ac:dyDescent="0.25">
      <c r="A62" s="9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11"/>
    </row>
    <row r="63" spans="1:32" x14ac:dyDescent="0.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1"/>
    </row>
    <row r="64" spans="1:32" ht="15.6" x14ac:dyDescent="0.25">
      <c r="A64" s="9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11"/>
    </row>
    <row r="65" spans="1:32" x14ac:dyDescent="0.2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5"/>
    </row>
    <row r="66" spans="1:32" x14ac:dyDescent="0.25">
      <c r="A66" s="13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15"/>
    </row>
    <row r="67" spans="1:32" x14ac:dyDescent="0.25">
      <c r="A67" s="2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4"/>
    </row>
    <row r="68" spans="1:32" x14ac:dyDescent="0.25">
      <c r="A68" s="13"/>
      <c r="B68" s="344" t="str">
        <f>+I11</f>
        <v>INTERVENTORIA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40"/>
    </row>
    <row r="69" spans="1:32" x14ac:dyDescent="0.25">
      <c r="A69" s="13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15"/>
    </row>
    <row r="70" spans="1:32" ht="32.25" customHeight="1" x14ac:dyDescent="0.25">
      <c r="A70" s="13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15"/>
    </row>
    <row r="71" spans="1:32" x14ac:dyDescent="0.25">
      <c r="A71" s="13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15"/>
    </row>
    <row r="72" spans="1:32" x14ac:dyDescent="0.25">
      <c r="A72" s="13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122092545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15"/>
    </row>
    <row r="73" spans="1:32" x14ac:dyDescent="0.25">
      <c r="A73" s="13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15"/>
    </row>
    <row r="74" spans="1:32" x14ac:dyDescent="0.25">
      <c r="A74" s="13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5</v>
      </c>
      <c r="O74" s="342"/>
      <c r="P74" s="51"/>
      <c r="Q74" s="48"/>
      <c r="R74" s="48">
        <v>6</v>
      </c>
      <c r="S74" s="48"/>
      <c r="T74" s="3"/>
      <c r="U74" s="343">
        <v>2016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15"/>
    </row>
    <row r="75" spans="1:32" x14ac:dyDescent="0.25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15"/>
    </row>
    <row r="76" spans="1:32" x14ac:dyDescent="0.25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15"/>
    </row>
    <row r="77" spans="1:32" x14ac:dyDescent="0.25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15"/>
    </row>
    <row r="78" spans="1:32" x14ac:dyDescent="0.25">
      <c r="A78" s="13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5"/>
    </row>
    <row r="79" spans="1:32" ht="15.6" x14ac:dyDescent="0.25">
      <c r="A79" s="13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87"/>
    </row>
    <row r="80" spans="1:32" x14ac:dyDescent="0.25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15"/>
    </row>
    <row r="81" spans="1:32" x14ac:dyDescent="0.25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15"/>
    </row>
    <row r="82" spans="1:32" ht="15.6" x14ac:dyDescent="0.25">
      <c r="A82" s="13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15"/>
    </row>
    <row r="83" spans="1:32" ht="14.4" thickBot="1" x14ac:dyDescent="0.3">
      <c r="A83" s="43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5"/>
    </row>
    <row r="84" spans="1:32" ht="14.4" thickTop="1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B74:M74"/>
    <mergeCell ref="N74:O74"/>
    <mergeCell ref="U74:V74"/>
    <mergeCell ref="N75:O75"/>
    <mergeCell ref="Q75:S75"/>
    <mergeCell ref="U75:V75"/>
    <mergeCell ref="U82:AB82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AA23:AE23" xr:uid="{00000000-0002-0000-0500-000000000000}">
      <formula1>"Corriente, Ahorro"</formula1>
    </dataValidation>
    <dataValidation type="list" allowBlank="1" showInputMessage="1" showErrorMessage="1" sqref="R23" xr:uid="{00000000-0002-0000-05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500-000002000000}">
      <formula1>"C.C.,C.E.,NIT.,PAS."</formula1>
    </dataValidation>
    <dataValidation allowBlank="1" showInputMessage="1" showErrorMessage="1" prompt="AÑO" sqref="O13" xr:uid="{00000000-0002-0000-0500-000003000000}"/>
    <dataValidation type="list" allowBlank="1" showInputMessage="1" showErrorMessage="1" sqref="Q74" xr:uid="{00000000-0002-0000-05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paperSize="9"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J18"/>
  <sheetViews>
    <sheetView workbookViewId="0">
      <selection activeCell="E18" sqref="E18"/>
    </sheetView>
  </sheetViews>
  <sheetFormatPr baseColWidth="10" defaultRowHeight="14.4" x14ac:dyDescent="0.3"/>
  <cols>
    <col min="1" max="1" width="16.6640625" bestFit="1" customWidth="1"/>
    <col min="5" max="5" width="13.109375" bestFit="1" customWidth="1"/>
    <col min="7" max="7" width="16.6640625" bestFit="1" customWidth="1"/>
    <col min="9" max="10" width="14.109375" bestFit="1" customWidth="1"/>
  </cols>
  <sheetData>
    <row r="1" spans="1:10" x14ac:dyDescent="0.3">
      <c r="D1" t="s">
        <v>87</v>
      </c>
      <c r="E1" t="s">
        <v>88</v>
      </c>
    </row>
    <row r="2" spans="1:10" x14ac:dyDescent="0.3">
      <c r="A2" s="75">
        <v>26695696</v>
      </c>
      <c r="B2" t="s">
        <v>80</v>
      </c>
      <c r="D2" s="79">
        <f>A2/A7</f>
        <v>0.22214974516273117</v>
      </c>
      <c r="E2" s="76">
        <f>D2*A8</f>
        <v>427131.7580192865</v>
      </c>
    </row>
    <row r="3" spans="1:10" x14ac:dyDescent="0.3">
      <c r="A3" s="75">
        <v>25799725</v>
      </c>
      <c r="B3" t="s">
        <v>81</v>
      </c>
      <c r="D3" s="79">
        <f>A3/A7</f>
        <v>0.2146938717768791</v>
      </c>
      <c r="E3" s="76">
        <f>A8*D3</f>
        <v>412796.20114284096</v>
      </c>
    </row>
    <row r="4" spans="1:10" x14ac:dyDescent="0.3">
      <c r="A4" s="75">
        <v>53375420</v>
      </c>
      <c r="B4" t="s">
        <v>82</v>
      </c>
      <c r="D4" s="79">
        <f>A4/A7</f>
        <v>0.44416657842349361</v>
      </c>
      <c r="E4" s="76">
        <f>A8*D4</f>
        <v>854007.96366641962</v>
      </c>
    </row>
    <row r="5" spans="1:10" x14ac:dyDescent="0.3">
      <c r="A5" s="75">
        <v>6673924</v>
      </c>
      <c r="B5" t="s">
        <v>82</v>
      </c>
      <c r="D5" s="79">
        <f>A5/A7</f>
        <v>5.5537436290682793E-2</v>
      </c>
      <c r="E5" s="76">
        <f>A8*D5</f>
        <v>106782.93950482162</v>
      </c>
    </row>
    <row r="6" spans="1:10" x14ac:dyDescent="0.3">
      <c r="A6" s="75">
        <v>7625060</v>
      </c>
      <c r="B6" t="s">
        <v>83</v>
      </c>
      <c r="D6" s="79">
        <f>A6/A7</f>
        <v>6.3452368346213373E-2</v>
      </c>
      <c r="E6" s="76">
        <f>A8*D6</f>
        <v>122001.13766663137</v>
      </c>
    </row>
    <row r="7" spans="1:10" x14ac:dyDescent="0.3">
      <c r="A7" s="78">
        <f>SUM(A2:A6)</f>
        <v>120169825</v>
      </c>
      <c r="B7" t="s">
        <v>86</v>
      </c>
      <c r="D7" s="79">
        <f>SUM(D2:D6)</f>
        <v>1</v>
      </c>
      <c r="E7" s="76">
        <f>SUM(E2:E6)</f>
        <v>1922720</v>
      </c>
    </row>
    <row r="8" spans="1:10" x14ac:dyDescent="0.3">
      <c r="A8" s="75">
        <v>1922720</v>
      </c>
      <c r="B8" t="s">
        <v>84</v>
      </c>
    </row>
    <row r="9" spans="1:10" x14ac:dyDescent="0.3">
      <c r="A9" s="77">
        <f>A7+A8</f>
        <v>122092545</v>
      </c>
      <c r="B9" t="s">
        <v>85</v>
      </c>
    </row>
    <row r="14" spans="1:10" x14ac:dyDescent="0.3">
      <c r="E14">
        <f>G14/G18</f>
        <v>0.44416657842349361</v>
      </c>
      <c r="G14" s="75">
        <f>3812530*14</f>
        <v>53375420</v>
      </c>
      <c r="H14" t="s">
        <v>82</v>
      </c>
      <c r="I14" s="76"/>
      <c r="J14" s="76"/>
    </row>
    <row r="15" spans="1:10" x14ac:dyDescent="0.3">
      <c r="E15">
        <f>G15/G18</f>
        <v>6.3452368346213373E-2</v>
      </c>
      <c r="G15" s="75">
        <f>3812530*2</f>
        <v>7625060</v>
      </c>
      <c r="H15" t="s">
        <v>83</v>
      </c>
    </row>
    <row r="16" spans="1:10" x14ac:dyDescent="0.3">
      <c r="E16">
        <f>G16/G18</f>
        <v>0.27768718145341392</v>
      </c>
      <c r="G16" s="75">
        <f>6673924*5</f>
        <v>33369620</v>
      </c>
      <c r="H16" t="s">
        <v>106</v>
      </c>
    </row>
    <row r="17" spans="5:8" x14ac:dyDescent="0.3">
      <c r="E17">
        <f>G17/G18</f>
        <v>0.2146938717768791</v>
      </c>
      <c r="G17" s="75">
        <f>3685675*7</f>
        <v>25799725</v>
      </c>
      <c r="H17" t="s">
        <v>107</v>
      </c>
    </row>
    <row r="18" spans="5:8" x14ac:dyDescent="0.3">
      <c r="E18" s="83" t="s">
        <v>108</v>
      </c>
      <c r="G18" s="82">
        <f>SUM(G14:G17)</f>
        <v>120169825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/>
  <dimension ref="A1:AI86"/>
  <sheetViews>
    <sheetView topLeftCell="A52" zoomScaleNormal="100" zoomScaleSheetLayoutView="80" workbookViewId="0">
      <selection activeCell="B64" sqref="B64:AE64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6.6640625" style="1" customWidth="1"/>
    <col min="31" max="31" width="2" style="1" customWidth="1"/>
    <col min="32" max="32" width="3.109375" style="1" hidden="1" customWidth="1"/>
    <col min="33" max="33" width="11.44140625" style="1"/>
    <col min="34" max="34" width="18.33203125" style="1" bestFit="1" customWidth="1"/>
    <col min="35" max="35" width="19" style="1" customWidth="1"/>
    <col min="36" max="16384" width="11.44140625" style="1"/>
  </cols>
  <sheetData>
    <row r="1" spans="1:32" ht="14.4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7.399999999999999" x14ac:dyDescent="0.25">
      <c r="A3" s="370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4"/>
    </row>
    <row r="4" spans="1:32" ht="17.399999999999999" x14ac:dyDescent="0.25">
      <c r="A4" s="59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8" x14ac:dyDescent="0.25">
      <c r="A6" s="371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8"/>
    </row>
    <row r="7" spans="1:32" ht="15.6" x14ac:dyDescent="0.25">
      <c r="A7" s="60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66"/>
    </row>
    <row r="11" spans="1:32" ht="15" customHeight="1" x14ac:dyDescent="0.25">
      <c r="A11" s="65"/>
      <c r="B11" s="381" t="s">
        <v>18</v>
      </c>
      <c r="C11" s="381"/>
      <c r="D11" s="381"/>
      <c r="E11" s="381"/>
      <c r="F11" s="381"/>
      <c r="G11" s="381"/>
      <c r="H11" s="382"/>
      <c r="I11" s="391" t="s">
        <v>104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66"/>
    </row>
    <row r="13" spans="1:32" x14ac:dyDescent="0.25">
      <c r="A13" s="65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66"/>
    </row>
    <row r="15" spans="1:32" x14ac:dyDescent="0.25">
      <c r="A15" s="65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66"/>
    </row>
    <row r="16" spans="1:32" ht="14.4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66"/>
    </row>
    <row r="17" spans="1:32" ht="21" customHeight="1" x14ac:dyDescent="0.25">
      <c r="A17" s="65"/>
      <c r="B17" s="381" t="s">
        <v>58</v>
      </c>
      <c r="C17" s="381"/>
      <c r="D17" s="381"/>
      <c r="E17" s="381"/>
      <c r="F17" s="381"/>
      <c r="G17" s="381"/>
      <c r="H17" s="381"/>
      <c r="I17" s="491" t="s">
        <v>92</v>
      </c>
      <c r="J17" s="492"/>
      <c r="K17" s="492"/>
      <c r="L17" s="492"/>
      <c r="M17" s="492"/>
      <c r="N17" s="492"/>
      <c r="O17" s="492"/>
      <c r="P17" s="492"/>
      <c r="Q17" s="49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4.4" thickBot="1" x14ac:dyDescent="0.3">
      <c r="A18" s="65"/>
      <c r="B18" s="51"/>
      <c r="C18" s="51"/>
      <c r="D18" s="51"/>
      <c r="E18" s="51"/>
      <c r="F18" s="51"/>
      <c r="G18" s="14"/>
      <c r="H18" s="14"/>
      <c r="I18" s="494"/>
      <c r="J18" s="495"/>
      <c r="K18" s="495"/>
      <c r="L18" s="495"/>
      <c r="M18" s="495"/>
      <c r="N18" s="495"/>
      <c r="O18" s="495"/>
      <c r="P18" s="495"/>
      <c r="Q18" s="49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381" t="s">
        <v>59</v>
      </c>
      <c r="C19" s="381"/>
      <c r="D19" s="381"/>
      <c r="E19" s="381"/>
      <c r="F19" s="381"/>
      <c r="G19" s="381"/>
      <c r="H19" s="381"/>
      <c r="I19" s="497" t="s">
        <v>93</v>
      </c>
      <c r="J19" s="498"/>
      <c r="K19" s="498"/>
      <c r="L19" s="498"/>
      <c r="M19" s="498"/>
      <c r="N19" s="498"/>
      <c r="O19" s="498"/>
      <c r="P19" s="498"/>
      <c r="Q19" s="49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6" x14ac:dyDescent="0.25">
      <c r="A21" s="60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9</v>
      </c>
      <c r="W25" s="210"/>
      <c r="X25" s="383" t="s">
        <v>39</v>
      </c>
      <c r="Y25" s="307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96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4.4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4.4" thickTop="1" x14ac:dyDescent="0.25">
      <c r="A29" s="65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15" t="s">
        <v>73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15" t="s">
        <v>6</v>
      </c>
      <c r="C31" s="416"/>
      <c r="D31" s="416"/>
      <c r="E31" s="416"/>
      <c r="F31" s="213"/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5" ht="14.4" thickBot="1" x14ac:dyDescent="0.3">
      <c r="A33" s="65"/>
      <c r="B33" s="420" t="s">
        <v>7</v>
      </c>
      <c r="C33" s="421"/>
      <c r="D33" s="421"/>
      <c r="E33" s="421"/>
      <c r="F33" s="422">
        <f>+F29+F30</f>
        <v>1098832907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5" ht="14.4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5" ht="15.6" x14ac:dyDescent="0.25">
      <c r="A35" s="60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62"/>
    </row>
    <row r="36" spans="1:35" ht="14.4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5" ht="49.5" customHeight="1" thickTop="1" x14ac:dyDescent="0.25">
      <c r="A37" s="65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66"/>
    </row>
    <row r="38" spans="1:35" x14ac:dyDescent="0.25">
      <c r="A38" s="65"/>
      <c r="B38" s="3"/>
      <c r="C38" s="430"/>
      <c r="D38" s="365">
        <v>42</v>
      </c>
      <c r="E38" s="365"/>
      <c r="F38" s="365"/>
      <c r="G38" s="365"/>
      <c r="H38" s="434"/>
      <c r="I38" s="246" t="s">
        <v>98</v>
      </c>
      <c r="J38" s="246"/>
      <c r="K38" s="246"/>
      <c r="L38" s="434"/>
      <c r="M38" s="247">
        <v>42460</v>
      </c>
      <c r="N38" s="248"/>
      <c r="O38" s="248"/>
      <c r="P38" s="249"/>
      <c r="Q38" s="437"/>
      <c r="R38" s="250" t="s">
        <v>99</v>
      </c>
      <c r="S38" s="250"/>
      <c r="T38" s="250"/>
      <c r="U38" s="250"/>
      <c r="V38" s="250"/>
      <c r="W38" s="250"/>
      <c r="X38" s="437"/>
      <c r="Y38" s="251">
        <f>abril!H2+abril!H3</f>
        <v>53335348.959162131</v>
      </c>
      <c r="Z38" s="251"/>
      <c r="AA38" s="251"/>
      <c r="AB38" s="251"/>
      <c r="AC38" s="440"/>
      <c r="AD38" s="53"/>
      <c r="AE38" s="53"/>
      <c r="AF38" s="66"/>
      <c r="AH38" s="81">
        <f>Y38*9</f>
        <v>480018140.63245916</v>
      </c>
      <c r="AI38" s="81">
        <v>488264948</v>
      </c>
    </row>
    <row r="39" spans="1:35" x14ac:dyDescent="0.25">
      <c r="A39" s="65"/>
      <c r="B39" s="3"/>
      <c r="C39" s="430"/>
      <c r="D39" s="365">
        <v>42</v>
      </c>
      <c r="E39" s="365"/>
      <c r="F39" s="365"/>
      <c r="G39" s="365"/>
      <c r="H39" s="434"/>
      <c r="I39" s="246" t="s">
        <v>98</v>
      </c>
      <c r="J39" s="246"/>
      <c r="K39" s="246"/>
      <c r="L39" s="434"/>
      <c r="M39" s="247">
        <v>42460</v>
      </c>
      <c r="N39" s="248"/>
      <c r="O39" s="248"/>
      <c r="P39" s="249"/>
      <c r="Q39" s="437"/>
      <c r="R39" s="258" t="s">
        <v>100</v>
      </c>
      <c r="S39" s="258"/>
      <c r="T39" s="258"/>
      <c r="U39" s="258"/>
      <c r="V39" s="258"/>
      <c r="W39" s="258"/>
      <c r="X39" s="437"/>
      <c r="Y39" s="251">
        <f>abril!H4+abril!H5</f>
        <v>61010134.903171241</v>
      </c>
      <c r="Z39" s="251"/>
      <c r="AA39" s="251"/>
      <c r="AB39" s="251"/>
      <c r="AC39" s="440"/>
      <c r="AD39" s="53"/>
      <c r="AE39" s="53"/>
      <c r="AF39" s="66"/>
      <c r="AH39" s="81">
        <f>Y39*9</f>
        <v>549091214.12854123</v>
      </c>
      <c r="AI39" s="81">
        <v>548493111</v>
      </c>
    </row>
    <row r="40" spans="1:35" x14ac:dyDescent="0.25">
      <c r="A40" s="65"/>
      <c r="B40" s="51"/>
      <c r="C40" s="430"/>
      <c r="D40" s="365">
        <v>42</v>
      </c>
      <c r="E40" s="365"/>
      <c r="F40" s="365"/>
      <c r="G40" s="365"/>
      <c r="H40" s="434"/>
      <c r="I40" s="246" t="s">
        <v>98</v>
      </c>
      <c r="J40" s="246"/>
      <c r="K40" s="246"/>
      <c r="L40" s="434"/>
      <c r="M40" s="247">
        <v>42460</v>
      </c>
      <c r="N40" s="248"/>
      <c r="O40" s="248"/>
      <c r="P40" s="249"/>
      <c r="Q40" s="437"/>
      <c r="R40" s="258" t="s">
        <v>101</v>
      </c>
      <c r="S40" s="258"/>
      <c r="T40" s="258"/>
      <c r="U40" s="258"/>
      <c r="V40" s="258"/>
      <c r="W40" s="258"/>
      <c r="X40" s="437"/>
      <c r="Y40" s="251">
        <f>abril!H6</f>
        <v>7747061.1376666315</v>
      </c>
      <c r="Z40" s="251"/>
      <c r="AA40" s="251"/>
      <c r="AB40" s="251"/>
      <c r="AC40" s="440"/>
      <c r="AD40" s="53"/>
      <c r="AE40" s="53"/>
      <c r="AF40" s="69"/>
      <c r="AH40" s="81">
        <f>Y40*9</f>
        <v>69723550.23899968</v>
      </c>
      <c r="AI40" s="81">
        <v>62074812</v>
      </c>
    </row>
    <row r="41" spans="1:35" x14ac:dyDescent="0.25">
      <c r="A41" s="65"/>
      <c r="B41" s="51"/>
      <c r="C41" s="430"/>
      <c r="D41" s="365"/>
      <c r="E41" s="365"/>
      <c r="F41" s="365"/>
      <c r="G41" s="365"/>
      <c r="H41" s="434"/>
      <c r="I41" s="442"/>
      <c r="J41" s="442"/>
      <c r="K41" s="442"/>
      <c r="L41" s="434"/>
      <c r="M41" s="443"/>
      <c r="N41" s="248"/>
      <c r="O41" s="248"/>
      <c r="P41" s="249"/>
      <c r="Q41" s="437"/>
      <c r="R41" s="258"/>
      <c r="S41" s="258"/>
      <c r="T41" s="258"/>
      <c r="U41" s="258"/>
      <c r="V41" s="258"/>
      <c r="W41" s="258"/>
      <c r="X41" s="437"/>
      <c r="Y41" s="251"/>
      <c r="Z41" s="251"/>
      <c r="AA41" s="251"/>
      <c r="AB41" s="251"/>
      <c r="AC41" s="440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5" ht="14.4" thickBot="1" x14ac:dyDescent="0.3">
      <c r="A42" s="65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66"/>
    </row>
    <row r="43" spans="1:35" ht="14.4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5" ht="15.6" x14ac:dyDescent="0.25">
      <c r="A44" s="60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62"/>
    </row>
    <row r="45" spans="1:35" ht="14.4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</row>
    <row r="46" spans="1:35" ht="15" customHeight="1" thickTop="1" x14ac:dyDescent="0.25">
      <c r="A46" s="60"/>
      <c r="B46" s="3"/>
      <c r="C46" s="3"/>
      <c r="D46" s="3"/>
      <c r="E46" s="444" t="s">
        <v>70</v>
      </c>
      <c r="F46" s="445"/>
      <c r="G46" s="267"/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1004582912</v>
      </c>
      <c r="Y46" s="357"/>
      <c r="Z46" s="357"/>
      <c r="AA46" s="358"/>
      <c r="AB46" s="14"/>
      <c r="AC46" s="14"/>
      <c r="AD46" s="14"/>
      <c r="AE46" s="53"/>
      <c r="AF46" s="66"/>
    </row>
    <row r="47" spans="1:35" ht="14.4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</row>
    <row r="48" spans="1:35" ht="15" customHeight="1" thickTop="1" x14ac:dyDescent="0.25">
      <c r="A48" s="60"/>
      <c r="B48" s="3"/>
      <c r="C48" s="3"/>
      <c r="D48" s="3"/>
      <c r="E48" s="455" t="s">
        <v>69</v>
      </c>
      <c r="F48" s="456"/>
      <c r="G48" s="281"/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1004582912</v>
      </c>
      <c r="Y48" s="357"/>
      <c r="Z48" s="357"/>
      <c r="AA48" s="358"/>
      <c r="AB48" s="14"/>
      <c r="AC48" s="14"/>
      <c r="AD48" s="14"/>
      <c r="AE48" s="53"/>
      <c r="AF48" s="66"/>
    </row>
    <row r="49" spans="1:32" ht="14.4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2" ht="15" customHeight="1" thickTop="1" thickBot="1" x14ac:dyDescent="0.3">
      <c r="A50" s="60"/>
      <c r="B50" s="3"/>
      <c r="C50" s="3"/>
      <c r="D50" s="3"/>
      <c r="E50" s="460" t="s">
        <v>67</v>
      </c>
      <c r="F50" s="461"/>
      <c r="G50" s="462"/>
      <c r="H50" s="462"/>
      <c r="I50" s="462"/>
      <c r="J50" s="462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1004582912</v>
      </c>
      <c r="Y50" s="357"/>
      <c r="Z50" s="357"/>
      <c r="AA50" s="358"/>
      <c r="AB50" s="14"/>
      <c r="AC50" s="14"/>
      <c r="AD50" s="14"/>
      <c r="AE50" s="53"/>
      <c r="AF50" s="66"/>
    </row>
    <row r="51" spans="1:32" ht="14.4" thickTop="1" x14ac:dyDescent="0.25">
      <c r="A51" s="60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66"/>
    </row>
    <row r="52" spans="1:32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</row>
    <row r="53" spans="1:32" ht="15.6" x14ac:dyDescent="0.25">
      <c r="A53" s="60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61"/>
    </row>
    <row r="54" spans="1:32" x14ac:dyDescent="0.25">
      <c r="A54" s="60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61"/>
    </row>
    <row r="55" spans="1:32" s="39" customFormat="1" ht="15" customHeight="1" x14ac:dyDescent="0.3">
      <c r="A55" s="70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61"/>
    </row>
    <row r="56" spans="1:32" s="39" customFormat="1" x14ac:dyDescent="0.3">
      <c r="A56" s="70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61"/>
    </row>
    <row r="57" spans="1:32" s="39" customFormat="1" x14ac:dyDescent="0.25">
      <c r="A57" s="70"/>
      <c r="B57" s="38"/>
      <c r="C57" s="329">
        <v>1</v>
      </c>
      <c r="D57" s="330"/>
      <c r="E57" s="359">
        <v>42522</v>
      </c>
      <c r="F57" s="360"/>
      <c r="G57" s="361"/>
      <c r="H57" s="359">
        <v>42551</v>
      </c>
      <c r="I57" s="360"/>
      <c r="J57" s="361"/>
      <c r="K57" s="362">
        <f>pabril!K57*3</f>
        <v>0.33</v>
      </c>
      <c r="L57" s="363"/>
      <c r="M57" s="364"/>
      <c r="N57" s="310">
        <f>pabril!W57+pmayo!W57</f>
        <v>244185090</v>
      </c>
      <c r="O57" s="340"/>
      <c r="P57" s="341"/>
      <c r="Q57" s="345">
        <v>120169825</v>
      </c>
      <c r="R57" s="346"/>
      <c r="S57" s="347"/>
      <c r="T57" s="345">
        <v>1922720</v>
      </c>
      <c r="U57" s="346"/>
      <c r="V57" s="347"/>
      <c r="W57" s="476">
        <f>+Q57+T57</f>
        <v>122092545</v>
      </c>
      <c r="X57" s="477"/>
      <c r="Y57" s="477"/>
      <c r="Z57" s="478"/>
      <c r="AA57" s="476">
        <f>F33-N57-W57</f>
        <v>732555272</v>
      </c>
      <c r="AB57" s="477"/>
      <c r="AC57" s="478"/>
      <c r="AD57" s="38"/>
      <c r="AE57" s="10"/>
      <c r="AF57" s="61"/>
    </row>
    <row r="58" spans="1:32" s="39" customFormat="1" x14ac:dyDescent="0.3">
      <c r="A58" s="70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61"/>
    </row>
    <row r="59" spans="1:32" x14ac:dyDescent="0.25">
      <c r="A59" s="60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61"/>
    </row>
    <row r="60" spans="1:32" ht="15" customHeight="1" x14ac:dyDescent="0.25">
      <c r="A60" s="60"/>
      <c r="B60" s="10"/>
      <c r="C60" s="319" t="s">
        <v>105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61"/>
    </row>
    <row r="61" spans="1:32" x14ac:dyDescent="0.25">
      <c r="A61" s="60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61"/>
    </row>
    <row r="62" spans="1:32" x14ac:dyDescent="0.25">
      <c r="A62" s="60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61"/>
    </row>
    <row r="63" spans="1:32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2" ht="15.6" x14ac:dyDescent="0.25">
      <c r="A64" s="60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66"/>
    </row>
    <row r="67" spans="1:32" x14ac:dyDescent="0.25">
      <c r="A67" s="63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64"/>
    </row>
    <row r="68" spans="1:32" x14ac:dyDescent="0.25">
      <c r="A68" s="65"/>
      <c r="B68" s="344" t="str">
        <f>+I11</f>
        <v>PRESTACIÓN DE SERVICIOS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122092545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25</v>
      </c>
      <c r="O74" s="342"/>
      <c r="P74" s="51"/>
      <c r="Q74" s="48"/>
      <c r="R74" s="48">
        <v>7</v>
      </c>
      <c r="S74" s="48"/>
      <c r="T74" s="3"/>
      <c r="U74" s="343">
        <v>2016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6" x14ac:dyDescent="0.25">
      <c r="A79" s="65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90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6" x14ac:dyDescent="0.25">
      <c r="A82" s="65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66"/>
    </row>
    <row r="83" spans="1:32" ht="14.4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</mergeCells>
  <dataValidations count="5">
    <dataValidation type="list" allowBlank="1" showInputMessage="1" showErrorMessage="1" sqref="Q74" xr:uid="{00000000-0002-0000-0700-000000000000}">
      <formula1>#REF!</formula1>
    </dataValidation>
    <dataValidation allowBlank="1" showInputMessage="1" showErrorMessage="1" prompt="AÑO" sqref="O13" xr:uid="{00000000-0002-0000-07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700-000002000000}">
      <formula1>"C.C.,C.E.,NIT.,PAS."</formula1>
    </dataValidation>
    <dataValidation type="list" allowBlank="1" showInputMessage="1" showErrorMessage="1" sqref="R23" xr:uid="{00000000-0002-0000-0700-000003000000}">
      <formula1>"Banco de Bogotá, Bancolombia, Banco Pupular"</formula1>
    </dataValidation>
    <dataValidation type="list" allowBlank="1" showInputMessage="1" showErrorMessage="1" sqref="AA23:AE23" xr:uid="{00000000-0002-0000-07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AI86"/>
  <sheetViews>
    <sheetView topLeftCell="A31" zoomScaleNormal="100" zoomScaleSheetLayoutView="80" workbookViewId="0">
      <selection activeCell="N57" sqref="N57:P57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6.6640625" style="1" customWidth="1"/>
    <col min="31" max="31" width="2" style="1" customWidth="1"/>
    <col min="32" max="32" width="3.109375" style="1" hidden="1" customWidth="1"/>
    <col min="33" max="33" width="11.44140625" style="1"/>
    <col min="34" max="34" width="18.33203125" style="1" bestFit="1" customWidth="1"/>
    <col min="35" max="35" width="19" style="1" customWidth="1"/>
    <col min="36" max="16384" width="11.44140625" style="1"/>
  </cols>
  <sheetData>
    <row r="1" spans="1:32" ht="14.4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7.399999999999999" x14ac:dyDescent="0.25">
      <c r="A3" s="370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4"/>
    </row>
    <row r="4" spans="1:32" ht="17.399999999999999" x14ac:dyDescent="0.25">
      <c r="A4" s="59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8" x14ac:dyDescent="0.25">
      <c r="A6" s="371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8"/>
    </row>
    <row r="7" spans="1:32" ht="15.6" x14ac:dyDescent="0.25">
      <c r="A7" s="60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66"/>
    </row>
    <row r="11" spans="1:32" ht="15" customHeight="1" x14ac:dyDescent="0.25">
      <c r="A11" s="65"/>
      <c r="B11" s="381" t="s">
        <v>18</v>
      </c>
      <c r="C11" s="381"/>
      <c r="D11" s="381"/>
      <c r="E11" s="381"/>
      <c r="F11" s="381"/>
      <c r="G11" s="381"/>
      <c r="H11" s="382"/>
      <c r="I11" s="391" t="s">
        <v>104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66"/>
    </row>
    <row r="13" spans="1:32" x14ac:dyDescent="0.25">
      <c r="A13" s="65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66"/>
    </row>
    <row r="15" spans="1:32" x14ac:dyDescent="0.25">
      <c r="A15" s="65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66"/>
    </row>
    <row r="16" spans="1:32" ht="14.4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66"/>
    </row>
    <row r="17" spans="1:32" ht="21" customHeight="1" x14ac:dyDescent="0.25">
      <c r="A17" s="65"/>
      <c r="B17" s="381" t="s">
        <v>58</v>
      </c>
      <c r="C17" s="381"/>
      <c r="D17" s="381"/>
      <c r="E17" s="381"/>
      <c r="F17" s="381"/>
      <c r="G17" s="381"/>
      <c r="H17" s="381"/>
      <c r="I17" s="491" t="s">
        <v>92</v>
      </c>
      <c r="J17" s="492"/>
      <c r="K17" s="492"/>
      <c r="L17" s="492"/>
      <c r="M17" s="492"/>
      <c r="N17" s="492"/>
      <c r="O17" s="492"/>
      <c r="P17" s="492"/>
      <c r="Q17" s="49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4.4" thickBot="1" x14ac:dyDescent="0.3">
      <c r="A18" s="65"/>
      <c r="B18" s="51"/>
      <c r="C18" s="51"/>
      <c r="D18" s="51"/>
      <c r="E18" s="51"/>
      <c r="F18" s="51"/>
      <c r="G18" s="14"/>
      <c r="H18" s="14"/>
      <c r="I18" s="494"/>
      <c r="J18" s="495"/>
      <c r="K18" s="495"/>
      <c r="L18" s="495"/>
      <c r="M18" s="495"/>
      <c r="N18" s="495"/>
      <c r="O18" s="495"/>
      <c r="P18" s="495"/>
      <c r="Q18" s="49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381" t="s">
        <v>59</v>
      </c>
      <c r="C19" s="381"/>
      <c r="D19" s="381"/>
      <c r="E19" s="381"/>
      <c r="F19" s="381"/>
      <c r="G19" s="381"/>
      <c r="H19" s="381"/>
      <c r="I19" s="497" t="s">
        <v>93</v>
      </c>
      <c r="J19" s="498"/>
      <c r="K19" s="498"/>
      <c r="L19" s="498"/>
      <c r="M19" s="498"/>
      <c r="N19" s="498"/>
      <c r="O19" s="498"/>
      <c r="P19" s="498"/>
      <c r="Q19" s="49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6" x14ac:dyDescent="0.25">
      <c r="A21" s="60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9</v>
      </c>
      <c r="W25" s="210"/>
      <c r="X25" s="383" t="s">
        <v>39</v>
      </c>
      <c r="Y25" s="307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96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4.4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4.4" thickTop="1" x14ac:dyDescent="0.25">
      <c r="A29" s="65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15" t="s">
        <v>73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15" t="s">
        <v>6</v>
      </c>
      <c r="C31" s="416"/>
      <c r="D31" s="416"/>
      <c r="E31" s="416"/>
      <c r="F31" s="213"/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5" ht="14.4" thickBot="1" x14ac:dyDescent="0.3">
      <c r="A33" s="65"/>
      <c r="B33" s="420" t="s">
        <v>7</v>
      </c>
      <c r="C33" s="421"/>
      <c r="D33" s="421"/>
      <c r="E33" s="421"/>
      <c r="F33" s="422">
        <f>+F29+F30</f>
        <v>1098832907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5" ht="14.4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5" ht="15.6" x14ac:dyDescent="0.25">
      <c r="A35" s="60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62"/>
    </row>
    <row r="36" spans="1:35" ht="14.4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5" ht="49.5" customHeight="1" thickTop="1" x14ac:dyDescent="0.25">
      <c r="A37" s="65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66"/>
    </row>
    <row r="38" spans="1:35" x14ac:dyDescent="0.25">
      <c r="A38" s="65"/>
      <c r="B38" s="3"/>
      <c r="C38" s="430"/>
      <c r="D38" s="365">
        <v>42</v>
      </c>
      <c r="E38" s="365"/>
      <c r="F38" s="365"/>
      <c r="G38" s="365"/>
      <c r="H38" s="434"/>
      <c r="I38" s="246" t="s">
        <v>98</v>
      </c>
      <c r="J38" s="246"/>
      <c r="K38" s="246"/>
      <c r="L38" s="434"/>
      <c r="M38" s="247">
        <v>42460</v>
      </c>
      <c r="N38" s="248"/>
      <c r="O38" s="248"/>
      <c r="P38" s="249"/>
      <c r="Q38" s="437"/>
      <c r="R38" s="250" t="s">
        <v>99</v>
      </c>
      <c r="S38" s="250"/>
      <c r="T38" s="250"/>
      <c r="U38" s="250"/>
      <c r="V38" s="250"/>
      <c r="W38" s="250"/>
      <c r="X38" s="437"/>
      <c r="Y38" s="251">
        <f>abril!H2+abril!H3</f>
        <v>53335348.959162131</v>
      </c>
      <c r="Z38" s="251"/>
      <c r="AA38" s="251"/>
      <c r="AB38" s="251"/>
      <c r="AC38" s="440"/>
      <c r="AD38" s="53"/>
      <c r="AE38" s="53"/>
      <c r="AF38" s="66"/>
      <c r="AH38" s="81">
        <f>Y38*9</f>
        <v>480018140.63245916</v>
      </c>
      <c r="AI38" s="81">
        <v>488264948</v>
      </c>
    </row>
    <row r="39" spans="1:35" x14ac:dyDescent="0.25">
      <c r="A39" s="65"/>
      <c r="B39" s="3"/>
      <c r="C39" s="430"/>
      <c r="D39" s="365">
        <v>42</v>
      </c>
      <c r="E39" s="365"/>
      <c r="F39" s="365"/>
      <c r="G39" s="365"/>
      <c r="H39" s="434"/>
      <c r="I39" s="246" t="s">
        <v>98</v>
      </c>
      <c r="J39" s="246"/>
      <c r="K39" s="246"/>
      <c r="L39" s="434"/>
      <c r="M39" s="247">
        <v>42460</v>
      </c>
      <c r="N39" s="248"/>
      <c r="O39" s="248"/>
      <c r="P39" s="249"/>
      <c r="Q39" s="437"/>
      <c r="R39" s="258" t="s">
        <v>100</v>
      </c>
      <c r="S39" s="258"/>
      <c r="T39" s="258"/>
      <c r="U39" s="258"/>
      <c r="V39" s="258"/>
      <c r="W39" s="258"/>
      <c r="X39" s="437"/>
      <c r="Y39" s="251">
        <f>abril!H4+abril!H5</f>
        <v>61010134.903171241</v>
      </c>
      <c r="Z39" s="251"/>
      <c r="AA39" s="251"/>
      <c r="AB39" s="251"/>
      <c r="AC39" s="440"/>
      <c r="AD39" s="53"/>
      <c r="AE39" s="53"/>
      <c r="AF39" s="66"/>
      <c r="AH39" s="81">
        <f>Y39*9</f>
        <v>549091214.12854123</v>
      </c>
      <c r="AI39" s="81">
        <v>548493111</v>
      </c>
    </row>
    <row r="40" spans="1:35" x14ac:dyDescent="0.25">
      <c r="A40" s="65"/>
      <c r="B40" s="51"/>
      <c r="C40" s="430"/>
      <c r="D40" s="365">
        <v>42</v>
      </c>
      <c r="E40" s="365"/>
      <c r="F40" s="365"/>
      <c r="G40" s="365"/>
      <c r="H40" s="434"/>
      <c r="I40" s="246" t="s">
        <v>98</v>
      </c>
      <c r="J40" s="246"/>
      <c r="K40" s="246"/>
      <c r="L40" s="434"/>
      <c r="M40" s="247">
        <v>42460</v>
      </c>
      <c r="N40" s="248"/>
      <c r="O40" s="248"/>
      <c r="P40" s="249"/>
      <c r="Q40" s="437"/>
      <c r="R40" s="258" t="s">
        <v>101</v>
      </c>
      <c r="S40" s="258"/>
      <c r="T40" s="258"/>
      <c r="U40" s="258"/>
      <c r="V40" s="258"/>
      <c r="W40" s="258"/>
      <c r="X40" s="437"/>
      <c r="Y40" s="251">
        <f>abril!H6</f>
        <v>7747061.1376666315</v>
      </c>
      <c r="Z40" s="251"/>
      <c r="AA40" s="251"/>
      <c r="AB40" s="251"/>
      <c r="AC40" s="440"/>
      <c r="AD40" s="53"/>
      <c r="AE40" s="53"/>
      <c r="AF40" s="69"/>
      <c r="AH40" s="81">
        <f>Y40*9</f>
        <v>69723550.23899968</v>
      </c>
      <c r="AI40" s="81">
        <v>62074812</v>
      </c>
    </row>
    <row r="41" spans="1:35" x14ac:dyDescent="0.25">
      <c r="A41" s="65"/>
      <c r="B41" s="51"/>
      <c r="C41" s="430"/>
      <c r="D41" s="365"/>
      <c r="E41" s="365"/>
      <c r="F41" s="365"/>
      <c r="G41" s="365"/>
      <c r="H41" s="434"/>
      <c r="I41" s="442"/>
      <c r="J41" s="442"/>
      <c r="K41" s="442"/>
      <c r="L41" s="434"/>
      <c r="M41" s="443"/>
      <c r="N41" s="248"/>
      <c r="O41" s="248"/>
      <c r="P41" s="249"/>
      <c r="Q41" s="437"/>
      <c r="R41" s="258"/>
      <c r="S41" s="258"/>
      <c r="T41" s="258"/>
      <c r="U41" s="258"/>
      <c r="V41" s="258"/>
      <c r="W41" s="258"/>
      <c r="X41" s="437"/>
      <c r="Y41" s="251"/>
      <c r="Z41" s="251"/>
      <c r="AA41" s="251"/>
      <c r="AB41" s="251"/>
      <c r="AC41" s="440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5" ht="14.4" thickBot="1" x14ac:dyDescent="0.3">
      <c r="A42" s="65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66"/>
    </row>
    <row r="43" spans="1:35" ht="14.4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5" ht="15.6" x14ac:dyDescent="0.25">
      <c r="A44" s="60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62"/>
    </row>
    <row r="45" spans="1:35" ht="14.4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</row>
    <row r="46" spans="1:35" ht="15" customHeight="1" thickTop="1" x14ac:dyDescent="0.25">
      <c r="A46" s="60"/>
      <c r="B46" s="3"/>
      <c r="C46" s="3"/>
      <c r="D46" s="3"/>
      <c r="E46" s="444" t="s">
        <v>70</v>
      </c>
      <c r="F46" s="445"/>
      <c r="G46" s="267">
        <v>1614100</v>
      </c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8455875396</v>
      </c>
      <c r="Y46" s="357"/>
      <c r="Z46" s="357"/>
      <c r="AA46" s="358"/>
      <c r="AB46" s="14"/>
      <c r="AC46" s="14"/>
      <c r="AD46" s="14"/>
      <c r="AE46" s="53"/>
      <c r="AF46" s="66"/>
    </row>
    <row r="47" spans="1:35" ht="14.4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</row>
    <row r="48" spans="1:35" ht="15" customHeight="1" thickTop="1" x14ac:dyDescent="0.25">
      <c r="A48" s="60"/>
      <c r="B48" s="3"/>
      <c r="C48" s="3"/>
      <c r="D48" s="3"/>
      <c r="E48" s="455" t="s">
        <v>69</v>
      </c>
      <c r="F48" s="456"/>
      <c r="G48" s="281">
        <v>6497440</v>
      </c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8455875396</v>
      </c>
      <c r="Y48" s="357"/>
      <c r="Z48" s="357"/>
      <c r="AA48" s="358"/>
      <c r="AB48" s="14"/>
      <c r="AC48" s="14"/>
      <c r="AD48" s="14"/>
      <c r="AE48" s="53"/>
      <c r="AF48" s="66"/>
    </row>
    <row r="49" spans="1:32" ht="14.4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2" ht="15" customHeight="1" thickTop="1" thickBot="1" x14ac:dyDescent="0.3">
      <c r="A50" s="60"/>
      <c r="B50" s="3"/>
      <c r="C50" s="3"/>
      <c r="D50" s="3"/>
      <c r="E50" s="460" t="s">
        <v>67</v>
      </c>
      <c r="F50" s="461"/>
      <c r="G50" s="287">
        <v>1755200</v>
      </c>
      <c r="H50" s="287"/>
      <c r="I50" s="287"/>
      <c r="J50" s="287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8455875396</v>
      </c>
      <c r="Y50" s="357"/>
      <c r="Z50" s="357"/>
      <c r="AA50" s="358"/>
      <c r="AB50" s="14"/>
      <c r="AC50" s="14"/>
      <c r="AD50" s="14"/>
      <c r="AE50" s="53"/>
      <c r="AF50" s="66"/>
    </row>
    <row r="51" spans="1:32" ht="14.4" thickTop="1" x14ac:dyDescent="0.25">
      <c r="A51" s="60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66"/>
    </row>
    <row r="52" spans="1:32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</row>
    <row r="53" spans="1:32" ht="15.6" x14ac:dyDescent="0.25">
      <c r="A53" s="60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61"/>
    </row>
    <row r="54" spans="1:32" x14ac:dyDescent="0.25">
      <c r="A54" s="60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61"/>
    </row>
    <row r="55" spans="1:32" s="39" customFormat="1" ht="15" customHeight="1" x14ac:dyDescent="0.3">
      <c r="A55" s="70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61"/>
    </row>
    <row r="56" spans="1:32" s="39" customFormat="1" x14ac:dyDescent="0.3">
      <c r="A56" s="70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61"/>
    </row>
    <row r="57" spans="1:32" s="39" customFormat="1" x14ac:dyDescent="0.25">
      <c r="A57" s="70"/>
      <c r="B57" s="38"/>
      <c r="C57" s="329">
        <v>1</v>
      </c>
      <c r="D57" s="330"/>
      <c r="E57" s="359">
        <v>42552</v>
      </c>
      <c r="F57" s="360"/>
      <c r="G57" s="361"/>
      <c r="H57" s="359">
        <v>42582</v>
      </c>
      <c r="I57" s="360"/>
      <c r="J57" s="361"/>
      <c r="K57" s="362">
        <f>pabril!K57*4</f>
        <v>0.44</v>
      </c>
      <c r="L57" s="363"/>
      <c r="M57" s="364"/>
      <c r="N57" s="310">
        <f>pabril!W57+pmayo!W57+junio!W57</f>
        <v>366277635</v>
      </c>
      <c r="O57" s="340"/>
      <c r="P57" s="341"/>
      <c r="Q57" s="345">
        <v>120169825</v>
      </c>
      <c r="R57" s="346"/>
      <c r="S57" s="347"/>
      <c r="T57" s="345">
        <v>1922720</v>
      </c>
      <c r="U57" s="346"/>
      <c r="V57" s="347"/>
      <c r="W57" s="476">
        <f>+Q57+T57</f>
        <v>122092545</v>
      </c>
      <c r="X57" s="477"/>
      <c r="Y57" s="477"/>
      <c r="Z57" s="478"/>
      <c r="AA57" s="476">
        <f>F33-N57-W57</f>
        <v>610462727</v>
      </c>
      <c r="AB57" s="477"/>
      <c r="AC57" s="478"/>
      <c r="AD57" s="38"/>
      <c r="AE57" s="10"/>
      <c r="AF57" s="61"/>
    </row>
    <row r="58" spans="1:32" s="39" customFormat="1" x14ac:dyDescent="0.3">
      <c r="A58" s="70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61"/>
    </row>
    <row r="59" spans="1:32" x14ac:dyDescent="0.25">
      <c r="A59" s="60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61"/>
    </row>
    <row r="60" spans="1:32" ht="15" customHeight="1" x14ac:dyDescent="0.25">
      <c r="A60" s="60"/>
      <c r="B60" s="10"/>
      <c r="C60" s="319" t="s">
        <v>105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61"/>
    </row>
    <row r="61" spans="1:32" x14ac:dyDescent="0.25">
      <c r="A61" s="60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61"/>
    </row>
    <row r="62" spans="1:32" x14ac:dyDescent="0.25">
      <c r="A62" s="60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61"/>
    </row>
    <row r="63" spans="1:32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2" ht="15.6" x14ac:dyDescent="0.25">
      <c r="A64" s="60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66"/>
    </row>
    <row r="67" spans="1:32" x14ac:dyDescent="0.25">
      <c r="A67" s="63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64"/>
    </row>
    <row r="68" spans="1:32" x14ac:dyDescent="0.25">
      <c r="A68" s="65"/>
      <c r="B68" s="344" t="str">
        <f>+I11</f>
        <v>PRESTACIÓN DE SERVICIOS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122092545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15</v>
      </c>
      <c r="O74" s="342"/>
      <c r="P74" s="51"/>
      <c r="Q74" s="48"/>
      <c r="R74" s="48">
        <v>8</v>
      </c>
      <c r="S74" s="48"/>
      <c r="T74" s="3"/>
      <c r="U74" s="343">
        <v>2016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6" x14ac:dyDescent="0.25">
      <c r="A79" s="65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90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6" x14ac:dyDescent="0.25">
      <c r="A82" s="65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66"/>
    </row>
    <row r="83" spans="1:32" ht="14.4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AA23:AE23" xr:uid="{00000000-0002-0000-0800-000000000000}">
      <formula1>"Corriente, Ahorro"</formula1>
    </dataValidation>
    <dataValidation type="list" allowBlank="1" showInputMessage="1" showErrorMessage="1" sqref="R23" xr:uid="{00000000-0002-0000-08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800-000002000000}">
      <formula1>"C.C.,C.E.,NIT.,PAS."</formula1>
    </dataValidation>
    <dataValidation allowBlank="1" showInputMessage="1" showErrorMessage="1" prompt="AÑO" sqref="O13" xr:uid="{00000000-0002-0000-0800-000003000000}"/>
    <dataValidation type="list" allowBlank="1" showInputMessage="1" showErrorMessage="1" sqref="Q74" xr:uid="{00000000-0002-0000-08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AI86"/>
  <sheetViews>
    <sheetView topLeftCell="A19" zoomScale="80" zoomScaleNormal="80" zoomScaleSheetLayoutView="80" workbookViewId="0">
      <selection activeCell="AH31" sqref="AH31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6.6640625" style="1" customWidth="1"/>
    <col min="31" max="31" width="2" style="1" customWidth="1"/>
    <col min="32" max="32" width="3.109375" style="1" hidden="1" customWidth="1"/>
    <col min="33" max="33" width="11.44140625" style="1"/>
    <col min="34" max="34" width="18.33203125" style="1" bestFit="1" customWidth="1"/>
    <col min="35" max="35" width="19" style="1" customWidth="1"/>
    <col min="36" max="16384" width="11.44140625" style="1"/>
  </cols>
  <sheetData>
    <row r="1" spans="1:32" ht="14.4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7.399999999999999" x14ac:dyDescent="0.25">
      <c r="A3" s="370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4"/>
    </row>
    <row r="4" spans="1:32" ht="17.399999999999999" x14ac:dyDescent="0.25">
      <c r="A4" s="59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8" x14ac:dyDescent="0.25">
      <c r="A6" s="371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8"/>
    </row>
    <row r="7" spans="1:32" ht="15.6" x14ac:dyDescent="0.25">
      <c r="A7" s="60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66"/>
    </row>
    <row r="11" spans="1:32" ht="15" customHeight="1" x14ac:dyDescent="0.25">
      <c r="A11" s="65"/>
      <c r="B11" s="381" t="s">
        <v>18</v>
      </c>
      <c r="C11" s="381"/>
      <c r="D11" s="381"/>
      <c r="E11" s="381"/>
      <c r="F11" s="381"/>
      <c r="G11" s="381"/>
      <c r="H11" s="382"/>
      <c r="I11" s="391" t="s">
        <v>104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66"/>
    </row>
    <row r="13" spans="1:32" x14ac:dyDescent="0.25">
      <c r="A13" s="65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66"/>
    </row>
    <row r="15" spans="1:32" x14ac:dyDescent="0.25">
      <c r="A15" s="65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66"/>
    </row>
    <row r="16" spans="1:32" ht="14.4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66"/>
    </row>
    <row r="17" spans="1:32" ht="21" customHeight="1" x14ac:dyDescent="0.25">
      <c r="A17" s="65"/>
      <c r="B17" s="381" t="s">
        <v>58</v>
      </c>
      <c r="C17" s="381"/>
      <c r="D17" s="381"/>
      <c r="E17" s="381"/>
      <c r="F17" s="381"/>
      <c r="G17" s="381"/>
      <c r="H17" s="381"/>
      <c r="I17" s="491" t="s">
        <v>92</v>
      </c>
      <c r="J17" s="492"/>
      <c r="K17" s="492"/>
      <c r="L17" s="492"/>
      <c r="M17" s="492"/>
      <c r="N17" s="492"/>
      <c r="O17" s="492"/>
      <c r="P17" s="492"/>
      <c r="Q17" s="49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4.4" thickBot="1" x14ac:dyDescent="0.3">
      <c r="A18" s="65"/>
      <c r="B18" s="51"/>
      <c r="C18" s="51"/>
      <c r="D18" s="51"/>
      <c r="E18" s="51"/>
      <c r="F18" s="51"/>
      <c r="G18" s="14"/>
      <c r="H18" s="14"/>
      <c r="I18" s="494"/>
      <c r="J18" s="495"/>
      <c r="K18" s="495"/>
      <c r="L18" s="495"/>
      <c r="M18" s="495"/>
      <c r="N18" s="495"/>
      <c r="O18" s="495"/>
      <c r="P18" s="495"/>
      <c r="Q18" s="49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381" t="s">
        <v>59</v>
      </c>
      <c r="C19" s="381"/>
      <c r="D19" s="381"/>
      <c r="E19" s="381"/>
      <c r="F19" s="381"/>
      <c r="G19" s="381"/>
      <c r="H19" s="381"/>
      <c r="I19" s="497" t="s">
        <v>93</v>
      </c>
      <c r="J19" s="498"/>
      <c r="K19" s="498"/>
      <c r="L19" s="498"/>
      <c r="M19" s="498"/>
      <c r="N19" s="498"/>
      <c r="O19" s="498"/>
      <c r="P19" s="498"/>
      <c r="Q19" s="49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6" x14ac:dyDescent="0.25">
      <c r="A21" s="60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9</v>
      </c>
      <c r="W25" s="210"/>
      <c r="X25" s="383" t="s">
        <v>39</v>
      </c>
      <c r="Y25" s="307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96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4.4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4.4" thickTop="1" x14ac:dyDescent="0.25">
      <c r="A29" s="65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15" t="s">
        <v>73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15" t="s">
        <v>6</v>
      </c>
      <c r="C31" s="416"/>
      <c r="D31" s="416"/>
      <c r="E31" s="416"/>
      <c r="F31" s="213"/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5" ht="14.4" thickBot="1" x14ac:dyDescent="0.3">
      <c r="A33" s="65"/>
      <c r="B33" s="420" t="s">
        <v>7</v>
      </c>
      <c r="C33" s="421"/>
      <c r="D33" s="421"/>
      <c r="E33" s="421"/>
      <c r="F33" s="422">
        <f>+F29+F30</f>
        <v>1098832907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5" ht="14.4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5" ht="15.6" x14ac:dyDescent="0.25">
      <c r="A35" s="60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62"/>
    </row>
    <row r="36" spans="1:35" ht="14.4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5" ht="49.5" customHeight="1" thickTop="1" x14ac:dyDescent="0.25">
      <c r="A37" s="65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66"/>
    </row>
    <row r="38" spans="1:35" x14ac:dyDescent="0.25">
      <c r="A38" s="65"/>
      <c r="B38" s="3"/>
      <c r="C38" s="430"/>
      <c r="D38" s="365">
        <v>42</v>
      </c>
      <c r="E38" s="365"/>
      <c r="F38" s="365"/>
      <c r="G38" s="365"/>
      <c r="H38" s="434"/>
      <c r="I38" s="246" t="s">
        <v>98</v>
      </c>
      <c r="J38" s="246"/>
      <c r="K38" s="246"/>
      <c r="L38" s="434"/>
      <c r="M38" s="247">
        <v>42460</v>
      </c>
      <c r="N38" s="248"/>
      <c r="O38" s="248"/>
      <c r="P38" s="249"/>
      <c r="Q38" s="437"/>
      <c r="R38" s="250" t="s">
        <v>99</v>
      </c>
      <c r="S38" s="250"/>
      <c r="T38" s="250"/>
      <c r="U38" s="250"/>
      <c r="V38" s="250"/>
      <c r="W38" s="250"/>
      <c r="X38" s="437"/>
      <c r="Y38" s="251">
        <f>abril!H2+abril!H3</f>
        <v>53335348.959162131</v>
      </c>
      <c r="Z38" s="251"/>
      <c r="AA38" s="251"/>
      <c r="AB38" s="251"/>
      <c r="AC38" s="440"/>
      <c r="AD38" s="53"/>
      <c r="AE38" s="53"/>
      <c r="AF38" s="66"/>
      <c r="AH38" s="81">
        <f>Y38*9</f>
        <v>480018140.63245916</v>
      </c>
      <c r="AI38" s="81">
        <v>488264948</v>
      </c>
    </row>
    <row r="39" spans="1:35" x14ac:dyDescent="0.25">
      <c r="A39" s="65"/>
      <c r="B39" s="3"/>
      <c r="C39" s="430"/>
      <c r="D39" s="365">
        <v>42</v>
      </c>
      <c r="E39" s="365"/>
      <c r="F39" s="365"/>
      <c r="G39" s="365"/>
      <c r="H39" s="434"/>
      <c r="I39" s="246" t="s">
        <v>98</v>
      </c>
      <c r="J39" s="246"/>
      <c r="K39" s="246"/>
      <c r="L39" s="434"/>
      <c r="M39" s="247">
        <v>42460</v>
      </c>
      <c r="N39" s="248"/>
      <c r="O39" s="248"/>
      <c r="P39" s="249"/>
      <c r="Q39" s="437"/>
      <c r="R39" s="258" t="s">
        <v>100</v>
      </c>
      <c r="S39" s="258"/>
      <c r="T39" s="258"/>
      <c r="U39" s="258"/>
      <c r="V39" s="258"/>
      <c r="W39" s="258"/>
      <c r="X39" s="437"/>
      <c r="Y39" s="251">
        <f>abril!H4+abril!H5</f>
        <v>61010134.903171241</v>
      </c>
      <c r="Z39" s="251"/>
      <c r="AA39" s="251"/>
      <c r="AB39" s="251"/>
      <c r="AC39" s="440"/>
      <c r="AD39" s="53"/>
      <c r="AE39" s="53"/>
      <c r="AF39" s="66"/>
      <c r="AH39" s="81">
        <f>Y39*9</f>
        <v>549091214.12854123</v>
      </c>
      <c r="AI39" s="81">
        <v>548493111</v>
      </c>
    </row>
    <row r="40" spans="1:35" x14ac:dyDescent="0.25">
      <c r="A40" s="65"/>
      <c r="B40" s="51"/>
      <c r="C40" s="430"/>
      <c r="D40" s="365">
        <v>42</v>
      </c>
      <c r="E40" s="365"/>
      <c r="F40" s="365"/>
      <c r="G40" s="365"/>
      <c r="H40" s="434"/>
      <c r="I40" s="246" t="s">
        <v>98</v>
      </c>
      <c r="J40" s="246"/>
      <c r="K40" s="246"/>
      <c r="L40" s="434"/>
      <c r="M40" s="247">
        <v>42460</v>
      </c>
      <c r="N40" s="248"/>
      <c r="O40" s="248"/>
      <c r="P40" s="249"/>
      <c r="Q40" s="437"/>
      <c r="R40" s="258" t="s">
        <v>101</v>
      </c>
      <c r="S40" s="258"/>
      <c r="T40" s="258"/>
      <c r="U40" s="258"/>
      <c r="V40" s="258"/>
      <c r="W40" s="258"/>
      <c r="X40" s="437"/>
      <c r="Y40" s="251">
        <f>abril!H6</f>
        <v>7747061.1376666315</v>
      </c>
      <c r="Z40" s="251"/>
      <c r="AA40" s="251"/>
      <c r="AB40" s="251"/>
      <c r="AC40" s="440"/>
      <c r="AD40" s="53"/>
      <c r="AE40" s="53"/>
      <c r="AF40" s="69"/>
      <c r="AH40" s="81">
        <f>Y40*9</f>
        <v>69723550.23899968</v>
      </c>
      <c r="AI40" s="81">
        <v>62074812</v>
      </c>
    </row>
    <row r="41" spans="1:35" x14ac:dyDescent="0.25">
      <c r="A41" s="65"/>
      <c r="B41" s="51"/>
      <c r="C41" s="430"/>
      <c r="D41" s="365"/>
      <c r="E41" s="365"/>
      <c r="F41" s="365"/>
      <c r="G41" s="365"/>
      <c r="H41" s="434"/>
      <c r="I41" s="442"/>
      <c r="J41" s="442"/>
      <c r="K41" s="442"/>
      <c r="L41" s="434"/>
      <c r="M41" s="443"/>
      <c r="N41" s="248"/>
      <c r="O41" s="248"/>
      <c r="P41" s="249"/>
      <c r="Q41" s="437"/>
      <c r="R41" s="258"/>
      <c r="S41" s="258"/>
      <c r="T41" s="258"/>
      <c r="U41" s="258"/>
      <c r="V41" s="258"/>
      <c r="W41" s="258"/>
      <c r="X41" s="437"/>
      <c r="Y41" s="251"/>
      <c r="Z41" s="251"/>
      <c r="AA41" s="251"/>
      <c r="AB41" s="251"/>
      <c r="AC41" s="440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5" ht="14.4" thickBot="1" x14ac:dyDescent="0.3">
      <c r="A42" s="65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66"/>
    </row>
    <row r="43" spans="1:35" ht="14.4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5" ht="15.6" x14ac:dyDescent="0.25">
      <c r="A44" s="60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62"/>
    </row>
    <row r="45" spans="1:35" ht="14.4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</row>
    <row r="46" spans="1:35" ht="15" customHeight="1" thickTop="1" x14ac:dyDescent="0.25">
      <c r="A46" s="60"/>
      <c r="B46" s="3"/>
      <c r="C46" s="3"/>
      <c r="D46" s="3"/>
      <c r="E46" s="444" t="s">
        <v>70</v>
      </c>
      <c r="F46" s="445"/>
      <c r="G46" s="267">
        <v>1613400</v>
      </c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8456881422</v>
      </c>
      <c r="Y46" s="357"/>
      <c r="Z46" s="357"/>
      <c r="AA46" s="358"/>
      <c r="AB46" s="14"/>
      <c r="AC46" s="14"/>
      <c r="AD46" s="14"/>
      <c r="AE46" s="53"/>
      <c r="AF46" s="66"/>
    </row>
    <row r="47" spans="1:35" ht="14.4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</row>
    <row r="48" spans="1:35" ht="15" customHeight="1" thickTop="1" x14ac:dyDescent="0.25">
      <c r="A48" s="60"/>
      <c r="B48" s="3"/>
      <c r="C48" s="3"/>
      <c r="D48" s="3"/>
      <c r="E48" s="455" t="s">
        <v>69</v>
      </c>
      <c r="F48" s="456"/>
      <c r="G48" s="281">
        <v>6492100</v>
      </c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8456881422</v>
      </c>
      <c r="Y48" s="357"/>
      <c r="Z48" s="357"/>
      <c r="AA48" s="358"/>
      <c r="AB48" s="14"/>
      <c r="AC48" s="14"/>
      <c r="AD48" s="14"/>
      <c r="AE48" s="53"/>
      <c r="AF48" s="66"/>
    </row>
    <row r="49" spans="1:32" ht="14.4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2" ht="15" customHeight="1" thickTop="1" thickBot="1" x14ac:dyDescent="0.3">
      <c r="A50" s="60"/>
      <c r="B50" s="3"/>
      <c r="C50" s="3"/>
      <c r="D50" s="3"/>
      <c r="E50" s="460" t="s">
        <v>67</v>
      </c>
      <c r="F50" s="461"/>
      <c r="G50" s="287">
        <v>1745300</v>
      </c>
      <c r="H50" s="287"/>
      <c r="I50" s="287"/>
      <c r="J50" s="287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8456881422</v>
      </c>
      <c r="Y50" s="357"/>
      <c r="Z50" s="357"/>
      <c r="AA50" s="358"/>
      <c r="AB50" s="14"/>
      <c r="AC50" s="14"/>
      <c r="AD50" s="14"/>
      <c r="AE50" s="53"/>
      <c r="AF50" s="66"/>
    </row>
    <row r="51" spans="1:32" ht="14.4" thickTop="1" x14ac:dyDescent="0.25">
      <c r="A51" s="60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66"/>
    </row>
    <row r="52" spans="1:32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</row>
    <row r="53" spans="1:32" ht="15.6" x14ac:dyDescent="0.25">
      <c r="A53" s="60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61"/>
    </row>
    <row r="54" spans="1:32" x14ac:dyDescent="0.25">
      <c r="A54" s="60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61"/>
    </row>
    <row r="55" spans="1:32" s="39" customFormat="1" ht="15" customHeight="1" x14ac:dyDescent="0.3">
      <c r="A55" s="70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61"/>
    </row>
    <row r="56" spans="1:32" s="39" customFormat="1" x14ac:dyDescent="0.3">
      <c r="A56" s="70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61"/>
    </row>
    <row r="57" spans="1:32" s="39" customFormat="1" x14ac:dyDescent="0.25">
      <c r="A57" s="70"/>
      <c r="B57" s="38"/>
      <c r="C57" s="329">
        <v>1</v>
      </c>
      <c r="D57" s="330"/>
      <c r="E57" s="359">
        <v>42583</v>
      </c>
      <c r="F57" s="360"/>
      <c r="G57" s="361"/>
      <c r="H57" s="359">
        <v>42613</v>
      </c>
      <c r="I57" s="360"/>
      <c r="J57" s="361"/>
      <c r="K57" s="362">
        <f>pabril!K57*5</f>
        <v>0.55000000000000004</v>
      </c>
      <c r="L57" s="363"/>
      <c r="M57" s="364"/>
      <c r="N57" s="310">
        <f>pabril!W57+pmayo!W57+junio!W57+julio!W57</f>
        <v>488370180</v>
      </c>
      <c r="O57" s="340"/>
      <c r="P57" s="341"/>
      <c r="Q57" s="345">
        <v>120169825</v>
      </c>
      <c r="R57" s="346"/>
      <c r="S57" s="347"/>
      <c r="T57" s="345">
        <v>1922720</v>
      </c>
      <c r="U57" s="346"/>
      <c r="V57" s="347"/>
      <c r="W57" s="476">
        <f>+Q57+T57</f>
        <v>122092545</v>
      </c>
      <c r="X57" s="477"/>
      <c r="Y57" s="477"/>
      <c r="Z57" s="478"/>
      <c r="AA57" s="476">
        <f>F33-N57-W57</f>
        <v>488370182</v>
      </c>
      <c r="AB57" s="477"/>
      <c r="AC57" s="478"/>
      <c r="AD57" s="38"/>
      <c r="AE57" s="10"/>
      <c r="AF57" s="61"/>
    </row>
    <row r="58" spans="1:32" s="39" customFormat="1" x14ac:dyDescent="0.3">
      <c r="A58" s="70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61"/>
    </row>
    <row r="59" spans="1:32" x14ac:dyDescent="0.25">
      <c r="A59" s="60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61"/>
    </row>
    <row r="60" spans="1:32" ht="15" customHeight="1" x14ac:dyDescent="0.25">
      <c r="A60" s="60"/>
      <c r="B60" s="10"/>
      <c r="C60" s="319" t="s">
        <v>105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61"/>
    </row>
    <row r="61" spans="1:32" x14ac:dyDescent="0.25">
      <c r="A61" s="60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61"/>
    </row>
    <row r="62" spans="1:32" x14ac:dyDescent="0.25">
      <c r="A62" s="60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61"/>
    </row>
    <row r="63" spans="1:32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2" ht="15.6" x14ac:dyDescent="0.25">
      <c r="A64" s="60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66"/>
    </row>
    <row r="67" spans="1:32" x14ac:dyDescent="0.25">
      <c r="A67" s="63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64"/>
    </row>
    <row r="68" spans="1:32" x14ac:dyDescent="0.25">
      <c r="A68" s="65"/>
      <c r="B68" s="344" t="str">
        <f>+I11</f>
        <v>PRESTACIÓN DE SERVICIOS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122092545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15</v>
      </c>
      <c r="O74" s="342"/>
      <c r="P74" s="51"/>
      <c r="Q74" s="48"/>
      <c r="R74" s="48">
        <v>9</v>
      </c>
      <c r="S74" s="48"/>
      <c r="T74" s="3"/>
      <c r="U74" s="343">
        <v>2016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6" x14ac:dyDescent="0.25">
      <c r="A79" s="65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90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6" x14ac:dyDescent="0.25">
      <c r="A82" s="65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66"/>
    </row>
    <row r="83" spans="1:32" ht="14.4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Q74" xr:uid="{00000000-0002-0000-0900-000000000000}">
      <formula1>#REF!</formula1>
    </dataValidation>
    <dataValidation allowBlank="1" showInputMessage="1" showErrorMessage="1" prompt="AÑO" sqref="O13" xr:uid="{00000000-0002-0000-09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900-000002000000}">
      <formula1>"C.C.,C.E.,NIT.,PAS."</formula1>
    </dataValidation>
    <dataValidation type="list" allowBlank="1" showInputMessage="1" showErrorMessage="1" sqref="R23" xr:uid="{00000000-0002-0000-0900-000003000000}">
      <formula1>"Banco de Bogotá, Bancolombia, Banco Pupular"</formula1>
    </dataValidation>
    <dataValidation type="list" allowBlank="1" showInputMessage="1" showErrorMessage="1" sqref="AA23:AE23" xr:uid="{00000000-0002-0000-09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/>
  <dimension ref="A1:AK86"/>
  <sheetViews>
    <sheetView topLeftCell="A16" zoomScale="80" zoomScaleNormal="80" zoomScaleSheetLayoutView="80" workbookViewId="0">
      <selection activeCell="AK54" sqref="AK54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3.44140625" style="1" customWidth="1"/>
    <col min="31" max="31" width="1.33203125" style="1" customWidth="1"/>
    <col min="32" max="32" width="3.109375" style="1" customWidth="1"/>
    <col min="33" max="33" width="11.44140625" style="1"/>
    <col min="34" max="34" width="24.109375" style="1" customWidth="1"/>
    <col min="35" max="35" width="19" style="1" customWidth="1"/>
    <col min="36" max="36" width="11.44140625" style="1"/>
    <col min="37" max="37" width="26.5546875" style="1" customWidth="1"/>
    <col min="38" max="16384" width="11.44140625" style="1"/>
  </cols>
  <sheetData>
    <row r="1" spans="1:32" ht="14.4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7.399999999999999" x14ac:dyDescent="0.25">
      <c r="A3" s="370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4"/>
    </row>
    <row r="4" spans="1:32" ht="17.399999999999999" x14ac:dyDescent="0.25">
      <c r="A4" s="59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8" x14ac:dyDescent="0.25">
      <c r="A6" s="371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8"/>
    </row>
    <row r="7" spans="1:32" ht="15.6" x14ac:dyDescent="0.25">
      <c r="A7" s="60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66"/>
    </row>
    <row r="11" spans="1:32" ht="15" customHeight="1" x14ac:dyDescent="0.25">
      <c r="A11" s="65"/>
      <c r="B11" s="381" t="s">
        <v>18</v>
      </c>
      <c r="C11" s="381"/>
      <c r="D11" s="381"/>
      <c r="E11" s="381"/>
      <c r="F11" s="381"/>
      <c r="G11" s="381"/>
      <c r="H11" s="382"/>
      <c r="I11" s="391" t="s">
        <v>104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66"/>
    </row>
    <row r="13" spans="1:32" x14ac:dyDescent="0.25">
      <c r="A13" s="65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66"/>
    </row>
    <row r="15" spans="1:32" x14ac:dyDescent="0.25">
      <c r="A15" s="65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66"/>
    </row>
    <row r="16" spans="1:32" ht="14.4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66"/>
    </row>
    <row r="17" spans="1:32" ht="21" customHeight="1" x14ac:dyDescent="0.25">
      <c r="A17" s="65"/>
      <c r="B17" s="381" t="s">
        <v>58</v>
      </c>
      <c r="C17" s="381"/>
      <c r="D17" s="381"/>
      <c r="E17" s="381"/>
      <c r="F17" s="381"/>
      <c r="G17" s="381"/>
      <c r="H17" s="381"/>
      <c r="I17" s="491" t="s">
        <v>92</v>
      </c>
      <c r="J17" s="492"/>
      <c r="K17" s="492"/>
      <c r="L17" s="492"/>
      <c r="M17" s="492"/>
      <c r="N17" s="492"/>
      <c r="O17" s="492"/>
      <c r="P17" s="492"/>
      <c r="Q17" s="49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4.4" thickBot="1" x14ac:dyDescent="0.3">
      <c r="A18" s="65"/>
      <c r="B18" s="51"/>
      <c r="C18" s="51"/>
      <c r="D18" s="51"/>
      <c r="E18" s="51"/>
      <c r="F18" s="51"/>
      <c r="G18" s="14"/>
      <c r="H18" s="14"/>
      <c r="I18" s="494"/>
      <c r="J18" s="495"/>
      <c r="K18" s="495"/>
      <c r="L18" s="495"/>
      <c r="M18" s="495"/>
      <c r="N18" s="495"/>
      <c r="O18" s="495"/>
      <c r="P18" s="495"/>
      <c r="Q18" s="49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381" t="s">
        <v>59</v>
      </c>
      <c r="C19" s="381"/>
      <c r="D19" s="381"/>
      <c r="E19" s="381"/>
      <c r="F19" s="381"/>
      <c r="G19" s="381"/>
      <c r="H19" s="381"/>
      <c r="I19" s="497" t="s">
        <v>93</v>
      </c>
      <c r="J19" s="498"/>
      <c r="K19" s="498"/>
      <c r="L19" s="498"/>
      <c r="M19" s="498"/>
      <c r="N19" s="498"/>
      <c r="O19" s="498"/>
      <c r="P19" s="498"/>
      <c r="Q19" s="49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6" x14ac:dyDescent="0.25">
      <c r="A21" s="60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9</v>
      </c>
      <c r="W25" s="210"/>
      <c r="X25" s="383" t="s">
        <v>39</v>
      </c>
      <c r="Y25" s="307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96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4.4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4.4" thickTop="1" x14ac:dyDescent="0.25">
      <c r="A29" s="65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15" t="s">
        <v>79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15" t="s">
        <v>6</v>
      </c>
      <c r="C31" s="416"/>
      <c r="D31" s="416"/>
      <c r="E31" s="416"/>
      <c r="F31" s="213"/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7" ht="14.4" thickBot="1" x14ac:dyDescent="0.3">
      <c r="A33" s="65"/>
      <c r="B33" s="420" t="s">
        <v>7</v>
      </c>
      <c r="C33" s="421"/>
      <c r="D33" s="421"/>
      <c r="E33" s="421"/>
      <c r="F33" s="422">
        <f>+F29+F30</f>
        <v>1098832907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7" ht="14.4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7" ht="15.6" x14ac:dyDescent="0.25">
      <c r="A35" s="60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62"/>
    </row>
    <row r="36" spans="1:37" ht="14.4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7" ht="49.5" customHeight="1" thickTop="1" x14ac:dyDescent="0.25">
      <c r="A37" s="65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66"/>
    </row>
    <row r="38" spans="1:37" x14ac:dyDescent="0.25">
      <c r="A38" s="65"/>
      <c r="B38" s="3"/>
      <c r="C38" s="430"/>
      <c r="D38" s="365">
        <v>42</v>
      </c>
      <c r="E38" s="365"/>
      <c r="F38" s="365"/>
      <c r="G38" s="365"/>
      <c r="H38" s="434"/>
      <c r="I38" s="246" t="s">
        <v>98</v>
      </c>
      <c r="J38" s="246"/>
      <c r="K38" s="246"/>
      <c r="L38" s="434"/>
      <c r="M38" s="247">
        <v>42460</v>
      </c>
      <c r="N38" s="248"/>
      <c r="O38" s="248"/>
      <c r="P38" s="249"/>
      <c r="Q38" s="437"/>
      <c r="R38" s="250" t="s">
        <v>99</v>
      </c>
      <c r="S38" s="250"/>
      <c r="T38" s="250"/>
      <c r="U38" s="250"/>
      <c r="V38" s="250"/>
      <c r="W38" s="250"/>
      <c r="X38" s="437"/>
      <c r="Y38" s="251">
        <f>abril!H2+abril!H3</f>
        <v>53335348.959162131</v>
      </c>
      <c r="Z38" s="251"/>
      <c r="AA38" s="251"/>
      <c r="AB38" s="251"/>
      <c r="AC38" s="440"/>
      <c r="AD38" s="53"/>
      <c r="AE38" s="53"/>
      <c r="AF38" s="66"/>
      <c r="AH38" s="81">
        <f>Y38*9</f>
        <v>480018140.63245916</v>
      </c>
      <c r="AI38" s="81">
        <v>488264948</v>
      </c>
      <c r="AK38" s="85"/>
    </row>
    <row r="39" spans="1:37" x14ac:dyDescent="0.25">
      <c r="A39" s="65"/>
      <c r="B39" s="3"/>
      <c r="C39" s="430"/>
      <c r="D39" s="365">
        <v>42</v>
      </c>
      <c r="E39" s="365"/>
      <c r="F39" s="365"/>
      <c r="G39" s="365"/>
      <c r="H39" s="434"/>
      <c r="I39" s="246" t="s">
        <v>98</v>
      </c>
      <c r="J39" s="246"/>
      <c r="K39" s="246"/>
      <c r="L39" s="434"/>
      <c r="M39" s="247">
        <v>42460</v>
      </c>
      <c r="N39" s="248"/>
      <c r="O39" s="248"/>
      <c r="P39" s="249"/>
      <c r="Q39" s="437"/>
      <c r="R39" s="258" t="s">
        <v>100</v>
      </c>
      <c r="S39" s="258"/>
      <c r="T39" s="258"/>
      <c r="U39" s="258"/>
      <c r="V39" s="258"/>
      <c r="W39" s="258"/>
      <c r="X39" s="437"/>
      <c r="Y39" s="251">
        <f>abril!H4+abril!H5</f>
        <v>61010134.903171241</v>
      </c>
      <c r="Z39" s="251"/>
      <c r="AA39" s="251"/>
      <c r="AB39" s="251"/>
      <c r="AC39" s="440"/>
      <c r="AD39" s="53"/>
      <c r="AE39" s="53"/>
      <c r="AF39" s="66"/>
      <c r="AH39" s="81">
        <f>Y39*9</f>
        <v>549091214.12854123</v>
      </c>
      <c r="AI39" s="81">
        <v>548493111</v>
      </c>
    </row>
    <row r="40" spans="1:37" x14ac:dyDescent="0.25">
      <c r="A40" s="65"/>
      <c r="B40" s="51"/>
      <c r="C40" s="430"/>
      <c r="D40" s="365">
        <v>42</v>
      </c>
      <c r="E40" s="365"/>
      <c r="F40" s="365"/>
      <c r="G40" s="365"/>
      <c r="H40" s="434"/>
      <c r="I40" s="246" t="s">
        <v>98</v>
      </c>
      <c r="J40" s="246"/>
      <c r="K40" s="246"/>
      <c r="L40" s="434"/>
      <c r="M40" s="247">
        <v>42460</v>
      </c>
      <c r="N40" s="248"/>
      <c r="O40" s="248"/>
      <c r="P40" s="249"/>
      <c r="Q40" s="437"/>
      <c r="R40" s="258" t="s">
        <v>101</v>
      </c>
      <c r="S40" s="258"/>
      <c r="T40" s="258"/>
      <c r="U40" s="258"/>
      <c r="V40" s="258"/>
      <c r="W40" s="258"/>
      <c r="X40" s="437"/>
      <c r="Y40" s="251">
        <f>abril!H6</f>
        <v>7747061.1376666315</v>
      </c>
      <c r="Z40" s="251"/>
      <c r="AA40" s="251"/>
      <c r="AB40" s="251"/>
      <c r="AC40" s="440"/>
      <c r="AD40" s="53"/>
      <c r="AE40" s="53"/>
      <c r="AF40" s="69"/>
      <c r="AH40" s="81">
        <f>Y40*9</f>
        <v>69723550.23899968</v>
      </c>
      <c r="AI40" s="81">
        <v>62074812</v>
      </c>
    </row>
    <row r="41" spans="1:37" x14ac:dyDescent="0.25">
      <c r="A41" s="65"/>
      <c r="B41" s="51"/>
      <c r="C41" s="430"/>
      <c r="D41" s="365"/>
      <c r="E41" s="365"/>
      <c r="F41" s="365"/>
      <c r="G41" s="365"/>
      <c r="H41" s="434"/>
      <c r="I41" s="442"/>
      <c r="J41" s="442"/>
      <c r="K41" s="442"/>
      <c r="L41" s="434"/>
      <c r="M41" s="443"/>
      <c r="N41" s="248"/>
      <c r="O41" s="248"/>
      <c r="P41" s="249"/>
      <c r="Q41" s="437"/>
      <c r="R41" s="258"/>
      <c r="S41" s="258"/>
      <c r="T41" s="258"/>
      <c r="U41" s="258"/>
      <c r="V41" s="258"/>
      <c r="W41" s="258"/>
      <c r="X41" s="437"/>
      <c r="Y41" s="251"/>
      <c r="Z41" s="251"/>
      <c r="AA41" s="251"/>
      <c r="AB41" s="251"/>
      <c r="AC41" s="440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7" ht="14.4" thickBot="1" x14ac:dyDescent="0.3">
      <c r="A42" s="65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66"/>
    </row>
    <row r="43" spans="1:37" ht="14.4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7" ht="15.6" x14ac:dyDescent="0.25">
      <c r="A44" s="60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62"/>
    </row>
    <row r="45" spans="1:37" ht="14.4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</row>
    <row r="46" spans="1:37" ht="15" customHeight="1" thickTop="1" x14ac:dyDescent="0.25">
      <c r="A46" s="60"/>
      <c r="B46" s="3"/>
      <c r="C46" s="3"/>
      <c r="D46" s="3"/>
      <c r="E46" s="444" t="s">
        <v>70</v>
      </c>
      <c r="F46" s="445"/>
      <c r="G46" s="267">
        <v>1691400</v>
      </c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8457826294</v>
      </c>
      <c r="Y46" s="357"/>
      <c r="Z46" s="357"/>
      <c r="AA46" s="358"/>
      <c r="AB46" s="14"/>
      <c r="AC46" s="14"/>
      <c r="AD46" s="14"/>
      <c r="AE46" s="53"/>
      <c r="AF46" s="66"/>
    </row>
    <row r="47" spans="1:37" ht="14.4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</row>
    <row r="48" spans="1:37" ht="15" customHeight="1" thickTop="1" x14ac:dyDescent="0.25">
      <c r="A48" s="60"/>
      <c r="B48" s="3"/>
      <c r="C48" s="3"/>
      <c r="D48" s="3"/>
      <c r="E48" s="455" t="s">
        <v>69</v>
      </c>
      <c r="F48" s="456"/>
      <c r="G48" s="281">
        <v>6785640</v>
      </c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8457826294</v>
      </c>
      <c r="Y48" s="357"/>
      <c r="Z48" s="357"/>
      <c r="AA48" s="358"/>
      <c r="AB48" s="14"/>
      <c r="AC48" s="14"/>
      <c r="AD48" s="14"/>
      <c r="AE48" s="53"/>
      <c r="AF48" s="66"/>
    </row>
    <row r="49" spans="1:37" ht="14.4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7" ht="15" customHeight="1" thickTop="1" thickBot="1" x14ac:dyDescent="0.3">
      <c r="A50" s="60"/>
      <c r="B50" s="3"/>
      <c r="C50" s="3"/>
      <c r="D50" s="3"/>
      <c r="E50" s="460" t="s">
        <v>67</v>
      </c>
      <c r="F50" s="461"/>
      <c r="G50" s="287">
        <v>1816600</v>
      </c>
      <c r="H50" s="287"/>
      <c r="I50" s="287"/>
      <c r="J50" s="287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8457826294</v>
      </c>
      <c r="Y50" s="357"/>
      <c r="Z50" s="357"/>
      <c r="AA50" s="358"/>
      <c r="AB50" s="14"/>
      <c r="AC50" s="14"/>
      <c r="AD50" s="14"/>
      <c r="AE50" s="53"/>
      <c r="AF50" s="66"/>
    </row>
    <row r="51" spans="1:37" ht="14.4" thickTop="1" x14ac:dyDescent="0.25">
      <c r="A51" s="60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66"/>
    </row>
    <row r="52" spans="1:37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K52" s="1">
        <f>W57*9</f>
        <v>1098832905</v>
      </c>
    </row>
    <row r="53" spans="1:37" ht="15.6" x14ac:dyDescent="0.25">
      <c r="A53" s="60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61"/>
      <c r="AK53" s="86">
        <f>F33-AK52</f>
        <v>2</v>
      </c>
    </row>
    <row r="54" spans="1:37" x14ac:dyDescent="0.25">
      <c r="A54" s="60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61"/>
      <c r="AK54" s="1" t="s">
        <v>110</v>
      </c>
    </row>
    <row r="55" spans="1:37" s="39" customFormat="1" ht="15" customHeight="1" x14ac:dyDescent="0.3">
      <c r="A55" s="70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61"/>
    </row>
    <row r="56" spans="1:37" s="39" customFormat="1" x14ac:dyDescent="0.3">
      <c r="A56" s="70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61"/>
    </row>
    <row r="57" spans="1:37" s="39" customFormat="1" x14ac:dyDescent="0.25">
      <c r="A57" s="70"/>
      <c r="B57" s="38"/>
      <c r="C57" s="329">
        <v>1</v>
      </c>
      <c r="D57" s="330"/>
      <c r="E57" s="359">
        <v>42614</v>
      </c>
      <c r="F57" s="360"/>
      <c r="G57" s="361"/>
      <c r="H57" s="359">
        <v>42643</v>
      </c>
      <c r="I57" s="360"/>
      <c r="J57" s="361"/>
      <c r="K57" s="362">
        <f>pabril!K57*6</f>
        <v>0.66</v>
      </c>
      <c r="L57" s="363"/>
      <c r="M57" s="364"/>
      <c r="N57" s="310">
        <f>pabril!W57+pmayo!W57+junio!W57+julio!W57+agosto!W57</f>
        <v>610462725</v>
      </c>
      <c r="O57" s="340"/>
      <c r="P57" s="341"/>
      <c r="Q57" s="345">
        <v>120169825</v>
      </c>
      <c r="R57" s="346"/>
      <c r="S57" s="347"/>
      <c r="T57" s="345">
        <v>1922720</v>
      </c>
      <c r="U57" s="346"/>
      <c r="V57" s="347"/>
      <c r="W57" s="476">
        <f>+Q57+T57</f>
        <v>122092545</v>
      </c>
      <c r="X57" s="477"/>
      <c r="Y57" s="477"/>
      <c r="Z57" s="478"/>
      <c r="AA57" s="476">
        <f>F33-N57-W57</f>
        <v>366277637</v>
      </c>
      <c r="AB57" s="477"/>
      <c r="AC57" s="478"/>
      <c r="AD57" s="38"/>
      <c r="AE57" s="10"/>
      <c r="AF57" s="61"/>
      <c r="AI57" s="84"/>
    </row>
    <row r="58" spans="1:37" s="39" customFormat="1" x14ac:dyDescent="0.3">
      <c r="A58" s="70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61"/>
    </row>
    <row r="59" spans="1:37" x14ac:dyDescent="0.25">
      <c r="A59" s="60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61"/>
    </row>
    <row r="60" spans="1:37" ht="15" customHeight="1" x14ac:dyDescent="0.25">
      <c r="A60" s="60"/>
      <c r="B60" s="10"/>
      <c r="C60" s="319" t="s">
        <v>109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61"/>
    </row>
    <row r="61" spans="1:37" x14ac:dyDescent="0.25">
      <c r="A61" s="60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61"/>
    </row>
    <row r="62" spans="1:37" x14ac:dyDescent="0.25">
      <c r="A62" s="60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61"/>
    </row>
    <row r="63" spans="1:37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7" ht="15.6" x14ac:dyDescent="0.25">
      <c r="A64" s="60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66"/>
    </row>
    <row r="67" spans="1:32" x14ac:dyDescent="0.25">
      <c r="A67" s="63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64"/>
    </row>
    <row r="68" spans="1:32" x14ac:dyDescent="0.25">
      <c r="A68" s="65"/>
      <c r="B68" s="344" t="str">
        <f>+I11</f>
        <v>PRESTACIÓN DE SERVICIOS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122092545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24</v>
      </c>
      <c r="O74" s="342"/>
      <c r="P74" s="51"/>
      <c r="Q74" s="48"/>
      <c r="R74" s="48">
        <v>10</v>
      </c>
      <c r="S74" s="48"/>
      <c r="T74" s="3"/>
      <c r="U74" s="343">
        <v>2016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6" x14ac:dyDescent="0.25">
      <c r="A79" s="65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90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6" x14ac:dyDescent="0.25">
      <c r="A82" s="65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66"/>
    </row>
    <row r="83" spans="1:32" ht="14.4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</mergeCells>
  <dataValidations count="5">
    <dataValidation type="list" allowBlank="1" showInputMessage="1" showErrorMessage="1" sqref="AA23:AE23" xr:uid="{00000000-0002-0000-0A00-000000000000}">
      <formula1>"Corriente, Ahorro"</formula1>
    </dataValidation>
    <dataValidation type="list" allowBlank="1" showInputMessage="1" showErrorMessage="1" sqref="R23" xr:uid="{00000000-0002-0000-0A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A00-000002000000}">
      <formula1>"C.C.,C.E.,NIT.,PAS."</formula1>
    </dataValidation>
    <dataValidation allowBlank="1" showInputMessage="1" showErrorMessage="1" prompt="AÑO" sqref="O13" xr:uid="{00000000-0002-0000-0A00-000003000000}"/>
    <dataValidation type="list" allowBlank="1" showInputMessage="1" showErrorMessage="1" sqref="Q74" xr:uid="{00000000-0002-0000-0A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AK86"/>
  <sheetViews>
    <sheetView topLeftCell="A28" zoomScale="80" zoomScaleNormal="80" zoomScaleSheetLayoutView="80" workbookViewId="0">
      <selection activeCell="X46" sqref="X46:AA46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3.44140625" style="1" customWidth="1"/>
    <col min="31" max="31" width="1.33203125" style="1" customWidth="1"/>
    <col min="32" max="32" width="3.109375" style="1" customWidth="1"/>
    <col min="33" max="33" width="11.44140625" style="1"/>
    <col min="34" max="34" width="24.109375" style="1" customWidth="1"/>
    <col min="35" max="35" width="19" style="1" customWidth="1"/>
    <col min="36" max="36" width="11.44140625" style="1"/>
    <col min="37" max="37" width="26.5546875" style="1" customWidth="1"/>
    <col min="38" max="16384" width="11.44140625" style="1"/>
  </cols>
  <sheetData>
    <row r="1" spans="1:32" ht="14.4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7.399999999999999" x14ac:dyDescent="0.25">
      <c r="A3" s="370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4"/>
    </row>
    <row r="4" spans="1:32" ht="17.399999999999999" x14ac:dyDescent="0.25">
      <c r="A4" s="59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8" x14ac:dyDescent="0.25">
      <c r="A6" s="371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8"/>
    </row>
    <row r="7" spans="1:32" ht="15.6" x14ac:dyDescent="0.25">
      <c r="A7" s="60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66"/>
    </row>
    <row r="11" spans="1:32" ht="15" customHeight="1" x14ac:dyDescent="0.25">
      <c r="A11" s="65"/>
      <c r="B11" s="381" t="s">
        <v>18</v>
      </c>
      <c r="C11" s="381"/>
      <c r="D11" s="381"/>
      <c r="E11" s="381"/>
      <c r="F11" s="381"/>
      <c r="G11" s="381"/>
      <c r="H11" s="382"/>
      <c r="I11" s="391" t="s">
        <v>104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66"/>
    </row>
    <row r="13" spans="1:32" x14ac:dyDescent="0.25">
      <c r="A13" s="65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66"/>
    </row>
    <row r="15" spans="1:32" x14ac:dyDescent="0.25">
      <c r="A15" s="65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66"/>
    </row>
    <row r="16" spans="1:32" ht="14.4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66"/>
    </row>
    <row r="17" spans="1:32" ht="21" customHeight="1" x14ac:dyDescent="0.25">
      <c r="A17" s="65"/>
      <c r="B17" s="381" t="s">
        <v>58</v>
      </c>
      <c r="C17" s="381"/>
      <c r="D17" s="381"/>
      <c r="E17" s="381"/>
      <c r="F17" s="381"/>
      <c r="G17" s="381"/>
      <c r="H17" s="381"/>
      <c r="I17" s="491" t="s">
        <v>92</v>
      </c>
      <c r="J17" s="492"/>
      <c r="K17" s="492"/>
      <c r="L17" s="492"/>
      <c r="M17" s="492"/>
      <c r="N17" s="492"/>
      <c r="O17" s="492"/>
      <c r="P17" s="492"/>
      <c r="Q17" s="49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4.4" thickBot="1" x14ac:dyDescent="0.3">
      <c r="A18" s="65"/>
      <c r="B18" s="51"/>
      <c r="C18" s="51"/>
      <c r="D18" s="51"/>
      <c r="E18" s="51"/>
      <c r="F18" s="51"/>
      <c r="G18" s="14"/>
      <c r="H18" s="14"/>
      <c r="I18" s="494"/>
      <c r="J18" s="495"/>
      <c r="K18" s="495"/>
      <c r="L18" s="495"/>
      <c r="M18" s="495"/>
      <c r="N18" s="495"/>
      <c r="O18" s="495"/>
      <c r="P18" s="495"/>
      <c r="Q18" s="49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381" t="s">
        <v>59</v>
      </c>
      <c r="C19" s="381"/>
      <c r="D19" s="381"/>
      <c r="E19" s="381"/>
      <c r="F19" s="381"/>
      <c r="G19" s="381"/>
      <c r="H19" s="381"/>
      <c r="I19" s="497" t="s">
        <v>93</v>
      </c>
      <c r="J19" s="498"/>
      <c r="K19" s="498"/>
      <c r="L19" s="498"/>
      <c r="M19" s="498"/>
      <c r="N19" s="498"/>
      <c r="O19" s="498"/>
      <c r="P19" s="498"/>
      <c r="Q19" s="49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6" x14ac:dyDescent="0.25">
      <c r="A21" s="60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9</v>
      </c>
      <c r="W25" s="210"/>
      <c r="X25" s="383" t="s">
        <v>39</v>
      </c>
      <c r="Y25" s="307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96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4.4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4.4" thickTop="1" x14ac:dyDescent="0.25">
      <c r="A29" s="65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15" t="s">
        <v>79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15" t="s">
        <v>6</v>
      </c>
      <c r="C31" s="416"/>
      <c r="D31" s="416"/>
      <c r="E31" s="416"/>
      <c r="F31" s="213"/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7" ht="14.4" thickBot="1" x14ac:dyDescent="0.3">
      <c r="A33" s="65"/>
      <c r="B33" s="420" t="s">
        <v>7</v>
      </c>
      <c r="C33" s="421"/>
      <c r="D33" s="421"/>
      <c r="E33" s="421"/>
      <c r="F33" s="422">
        <f>+F29+F30</f>
        <v>1098832907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7" ht="14.4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7" ht="15.6" x14ac:dyDescent="0.25">
      <c r="A35" s="60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62"/>
    </row>
    <row r="36" spans="1:37" ht="14.4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7" ht="49.5" customHeight="1" thickTop="1" x14ac:dyDescent="0.25">
      <c r="A37" s="65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66"/>
    </row>
    <row r="38" spans="1:37" x14ac:dyDescent="0.25">
      <c r="A38" s="65"/>
      <c r="B38" s="3"/>
      <c r="C38" s="430"/>
      <c r="D38" s="365">
        <v>42</v>
      </c>
      <c r="E38" s="365"/>
      <c r="F38" s="365"/>
      <c r="G38" s="365"/>
      <c r="H38" s="434"/>
      <c r="I38" s="246" t="s">
        <v>98</v>
      </c>
      <c r="J38" s="246"/>
      <c r="K38" s="246"/>
      <c r="L38" s="434"/>
      <c r="M38" s="247">
        <v>42460</v>
      </c>
      <c r="N38" s="248"/>
      <c r="O38" s="248"/>
      <c r="P38" s="249"/>
      <c r="Q38" s="437"/>
      <c r="R38" s="250" t="s">
        <v>99</v>
      </c>
      <c r="S38" s="250"/>
      <c r="T38" s="250"/>
      <c r="U38" s="250"/>
      <c r="V38" s="250"/>
      <c r="W38" s="250"/>
      <c r="X38" s="437"/>
      <c r="Y38" s="251">
        <f>abril!H2+abril!H3</f>
        <v>53335348.959162131</v>
      </c>
      <c r="Z38" s="251"/>
      <c r="AA38" s="251"/>
      <c r="AB38" s="251"/>
      <c r="AC38" s="440"/>
      <c r="AD38" s="53"/>
      <c r="AE38" s="53"/>
      <c r="AF38" s="66"/>
      <c r="AH38" s="81">
        <f>Y38*9</f>
        <v>480018140.63245916</v>
      </c>
      <c r="AI38" s="81">
        <v>488264948</v>
      </c>
      <c r="AK38" s="85"/>
    </row>
    <row r="39" spans="1:37" x14ac:dyDescent="0.25">
      <c r="A39" s="65"/>
      <c r="B39" s="3"/>
      <c r="C39" s="430"/>
      <c r="D39" s="365">
        <v>42</v>
      </c>
      <c r="E39" s="365"/>
      <c r="F39" s="365"/>
      <c r="G39" s="365"/>
      <c r="H39" s="434"/>
      <c r="I39" s="246" t="s">
        <v>98</v>
      </c>
      <c r="J39" s="246"/>
      <c r="K39" s="246"/>
      <c r="L39" s="434"/>
      <c r="M39" s="247">
        <v>42460</v>
      </c>
      <c r="N39" s="248"/>
      <c r="O39" s="248"/>
      <c r="P39" s="249"/>
      <c r="Q39" s="437"/>
      <c r="R39" s="258" t="s">
        <v>100</v>
      </c>
      <c r="S39" s="258"/>
      <c r="T39" s="258"/>
      <c r="U39" s="258"/>
      <c r="V39" s="258"/>
      <c r="W39" s="258"/>
      <c r="X39" s="437"/>
      <c r="Y39" s="251">
        <f>abril!H4+abril!H5</f>
        <v>61010134.903171241</v>
      </c>
      <c r="Z39" s="251"/>
      <c r="AA39" s="251"/>
      <c r="AB39" s="251"/>
      <c r="AC39" s="440"/>
      <c r="AD39" s="53"/>
      <c r="AE39" s="53"/>
      <c r="AF39" s="66"/>
      <c r="AH39" s="81">
        <f>Y39*9</f>
        <v>549091214.12854123</v>
      </c>
      <c r="AI39" s="81">
        <v>548493111</v>
      </c>
    </row>
    <row r="40" spans="1:37" x14ac:dyDescent="0.25">
      <c r="A40" s="65"/>
      <c r="B40" s="51"/>
      <c r="C40" s="430"/>
      <c r="D40" s="365">
        <v>42</v>
      </c>
      <c r="E40" s="365"/>
      <c r="F40" s="365"/>
      <c r="G40" s="365"/>
      <c r="H40" s="434"/>
      <c r="I40" s="246" t="s">
        <v>98</v>
      </c>
      <c r="J40" s="246"/>
      <c r="K40" s="246"/>
      <c r="L40" s="434"/>
      <c r="M40" s="247">
        <v>42460</v>
      </c>
      <c r="N40" s="248"/>
      <c r="O40" s="248"/>
      <c r="P40" s="249"/>
      <c r="Q40" s="437"/>
      <c r="R40" s="258" t="s">
        <v>101</v>
      </c>
      <c r="S40" s="258"/>
      <c r="T40" s="258"/>
      <c r="U40" s="258"/>
      <c r="V40" s="258"/>
      <c r="W40" s="258"/>
      <c r="X40" s="437"/>
      <c r="Y40" s="251">
        <f>abril!H6</f>
        <v>7747061.1376666315</v>
      </c>
      <c r="Z40" s="251"/>
      <c r="AA40" s="251"/>
      <c r="AB40" s="251"/>
      <c r="AC40" s="440"/>
      <c r="AD40" s="53"/>
      <c r="AE40" s="53"/>
      <c r="AF40" s="69"/>
      <c r="AH40" s="81">
        <f>Y40*9</f>
        <v>69723550.23899968</v>
      </c>
      <c r="AI40" s="81">
        <v>62074812</v>
      </c>
    </row>
    <row r="41" spans="1:37" x14ac:dyDescent="0.25">
      <c r="A41" s="65"/>
      <c r="B41" s="51"/>
      <c r="C41" s="430"/>
      <c r="D41" s="365"/>
      <c r="E41" s="365"/>
      <c r="F41" s="365"/>
      <c r="G41" s="365"/>
      <c r="H41" s="434"/>
      <c r="I41" s="442"/>
      <c r="J41" s="442"/>
      <c r="K41" s="442"/>
      <c r="L41" s="434"/>
      <c r="M41" s="443"/>
      <c r="N41" s="248"/>
      <c r="O41" s="248"/>
      <c r="P41" s="249"/>
      <c r="Q41" s="437"/>
      <c r="R41" s="258"/>
      <c r="S41" s="258"/>
      <c r="T41" s="258"/>
      <c r="U41" s="258"/>
      <c r="V41" s="258"/>
      <c r="W41" s="258"/>
      <c r="X41" s="437"/>
      <c r="Y41" s="251"/>
      <c r="Z41" s="251"/>
      <c r="AA41" s="251"/>
      <c r="AB41" s="251"/>
      <c r="AC41" s="440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7" ht="14.4" thickBot="1" x14ac:dyDescent="0.3">
      <c r="A42" s="65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66"/>
    </row>
    <row r="43" spans="1:37" ht="14.4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7" ht="15.6" x14ac:dyDescent="0.25">
      <c r="A44" s="60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62"/>
    </row>
    <row r="45" spans="1:37" ht="14.4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  <c r="AH45" s="81">
        <f>Y38*6</f>
        <v>320012093.75497282</v>
      </c>
    </row>
    <row r="46" spans="1:37" ht="15" customHeight="1" thickTop="1" x14ac:dyDescent="0.25">
      <c r="A46" s="60"/>
      <c r="B46" s="3"/>
      <c r="C46" s="3"/>
      <c r="D46" s="3"/>
      <c r="E46" s="444" t="s">
        <v>70</v>
      </c>
      <c r="F46" s="445"/>
      <c r="G46" s="267">
        <v>1691400</v>
      </c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8458691114</v>
      </c>
      <c r="Y46" s="357"/>
      <c r="Z46" s="357"/>
      <c r="AA46" s="358"/>
      <c r="AB46" s="14"/>
      <c r="AC46" s="14"/>
      <c r="AD46" s="14"/>
      <c r="AE46" s="53"/>
      <c r="AF46" s="66"/>
      <c r="AH46" s="81">
        <f>Y39*6</f>
        <v>366060809.41902745</v>
      </c>
    </row>
    <row r="47" spans="1:37" ht="14.4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  <c r="AH47" s="81">
        <f>Y40*6</f>
        <v>46482366.825999789</v>
      </c>
    </row>
    <row r="48" spans="1:37" ht="15" customHeight="1" thickTop="1" x14ac:dyDescent="0.25">
      <c r="A48" s="60"/>
      <c r="B48" s="3"/>
      <c r="C48" s="3"/>
      <c r="D48" s="3"/>
      <c r="E48" s="455" t="s">
        <v>69</v>
      </c>
      <c r="F48" s="456"/>
      <c r="G48" s="281">
        <v>6785640</v>
      </c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8458691114</v>
      </c>
      <c r="Y48" s="357"/>
      <c r="Z48" s="357"/>
      <c r="AA48" s="358"/>
      <c r="AB48" s="14"/>
      <c r="AC48" s="14"/>
      <c r="AD48" s="14"/>
      <c r="AE48" s="53"/>
      <c r="AF48" s="66"/>
    </row>
    <row r="49" spans="1:37" ht="14.4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7" ht="15" customHeight="1" thickTop="1" thickBot="1" x14ac:dyDescent="0.3">
      <c r="A50" s="60"/>
      <c r="B50" s="3"/>
      <c r="C50" s="3"/>
      <c r="D50" s="3"/>
      <c r="E50" s="460" t="s">
        <v>67</v>
      </c>
      <c r="F50" s="461"/>
      <c r="G50" s="287">
        <v>1816600</v>
      </c>
      <c r="H50" s="287"/>
      <c r="I50" s="287"/>
      <c r="J50" s="287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8458691114</v>
      </c>
      <c r="Y50" s="357"/>
      <c r="Z50" s="357"/>
      <c r="AA50" s="358"/>
      <c r="AB50" s="14"/>
      <c r="AC50" s="14"/>
      <c r="AD50" s="14"/>
      <c r="AE50" s="53"/>
      <c r="AF50" s="66"/>
    </row>
    <row r="51" spans="1:37" ht="14.4" thickTop="1" x14ac:dyDescent="0.25">
      <c r="A51" s="60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66"/>
    </row>
    <row r="52" spans="1:37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K52" s="1">
        <f>W57*9</f>
        <v>1098832905</v>
      </c>
    </row>
    <row r="53" spans="1:37" ht="15.6" x14ac:dyDescent="0.25">
      <c r="A53" s="60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61"/>
      <c r="AK53" s="86">
        <f>F33-AK52</f>
        <v>2</v>
      </c>
    </row>
    <row r="54" spans="1:37" x14ac:dyDescent="0.25">
      <c r="A54" s="60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61"/>
      <c r="AK54" s="1" t="s">
        <v>110</v>
      </c>
    </row>
    <row r="55" spans="1:37" s="39" customFormat="1" ht="15" customHeight="1" x14ac:dyDescent="0.3">
      <c r="A55" s="70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61"/>
    </row>
    <row r="56" spans="1:37" s="39" customFormat="1" x14ac:dyDescent="0.3">
      <c r="A56" s="70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61"/>
    </row>
    <row r="57" spans="1:37" s="39" customFormat="1" x14ac:dyDescent="0.25">
      <c r="A57" s="70"/>
      <c r="B57" s="38"/>
      <c r="C57" s="329">
        <v>1</v>
      </c>
      <c r="D57" s="330"/>
      <c r="E57" s="359">
        <v>42644</v>
      </c>
      <c r="F57" s="360"/>
      <c r="G57" s="361"/>
      <c r="H57" s="359">
        <v>42674</v>
      </c>
      <c r="I57" s="360"/>
      <c r="J57" s="361"/>
      <c r="K57" s="362">
        <f>pabril!K57*7</f>
        <v>0.77</v>
      </c>
      <c r="L57" s="363"/>
      <c r="M57" s="364"/>
      <c r="N57" s="310">
        <f>pabril!W57+pmayo!W57+junio!W57+julio!W57+agosto!W57+septiembre!W57</f>
        <v>732555270</v>
      </c>
      <c r="O57" s="340"/>
      <c r="P57" s="341"/>
      <c r="Q57" s="345">
        <v>120169825</v>
      </c>
      <c r="R57" s="346"/>
      <c r="S57" s="347"/>
      <c r="T57" s="345">
        <v>1922720</v>
      </c>
      <c r="U57" s="346"/>
      <c r="V57" s="347"/>
      <c r="W57" s="476">
        <f>+Q57+T57</f>
        <v>122092545</v>
      </c>
      <c r="X57" s="477"/>
      <c r="Y57" s="477"/>
      <c r="Z57" s="478"/>
      <c r="AA57" s="476">
        <f>F33-N57-W57</f>
        <v>244185092</v>
      </c>
      <c r="AB57" s="477"/>
      <c r="AC57" s="478"/>
      <c r="AD57" s="38"/>
      <c r="AE57" s="10"/>
      <c r="AF57" s="61"/>
      <c r="AI57" s="84"/>
    </row>
    <row r="58" spans="1:37" s="39" customFormat="1" x14ac:dyDescent="0.3">
      <c r="A58" s="70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61"/>
      <c r="AI58" s="39">
        <v>1</v>
      </c>
    </row>
    <row r="59" spans="1:37" x14ac:dyDescent="0.25">
      <c r="A59" s="60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61"/>
      <c r="AI59" s="1">
        <v>16</v>
      </c>
    </row>
    <row r="60" spans="1:37" ht="15" customHeight="1" x14ac:dyDescent="0.25">
      <c r="A60" s="60"/>
      <c r="B60" s="10"/>
      <c r="C60" s="319" t="s">
        <v>111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61"/>
    </row>
    <row r="61" spans="1:37" x14ac:dyDescent="0.25">
      <c r="A61" s="60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61"/>
    </row>
    <row r="62" spans="1:37" x14ac:dyDescent="0.25">
      <c r="A62" s="60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61"/>
    </row>
    <row r="63" spans="1:37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7" ht="15.6" x14ac:dyDescent="0.25">
      <c r="A64" s="60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66"/>
    </row>
    <row r="67" spans="1:32" x14ac:dyDescent="0.25">
      <c r="A67" s="63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64"/>
    </row>
    <row r="68" spans="1:32" x14ac:dyDescent="0.25">
      <c r="A68" s="65"/>
      <c r="B68" s="344" t="str">
        <f>+I11</f>
        <v>PRESTACIÓN DE SERVICIOS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122092545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22</v>
      </c>
      <c r="O74" s="342"/>
      <c r="P74" s="51"/>
      <c r="Q74" s="48"/>
      <c r="R74" s="48">
        <v>11</v>
      </c>
      <c r="S74" s="48"/>
      <c r="T74" s="3"/>
      <c r="U74" s="343">
        <v>2016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6" x14ac:dyDescent="0.25">
      <c r="A79" s="65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90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6" x14ac:dyDescent="0.25">
      <c r="A82" s="65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66"/>
    </row>
    <row r="83" spans="1:32" ht="14.4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</mergeCells>
  <dataValidations count="5">
    <dataValidation type="list" allowBlank="1" showInputMessage="1" showErrorMessage="1" sqref="Q74" xr:uid="{00000000-0002-0000-0B00-000000000000}">
      <formula1>#REF!</formula1>
    </dataValidation>
    <dataValidation allowBlank="1" showInputMessage="1" showErrorMessage="1" prompt="AÑO" sqref="O13" xr:uid="{00000000-0002-0000-0B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B00-000002000000}">
      <formula1>"C.C.,C.E.,NIT.,PAS."</formula1>
    </dataValidation>
    <dataValidation type="list" allowBlank="1" showInputMessage="1" showErrorMessage="1" sqref="R23" xr:uid="{00000000-0002-0000-0B00-000003000000}">
      <formula1>"Banco de Bogotá, Bancolombia, Banco Pupular"</formula1>
    </dataValidation>
    <dataValidation type="list" allowBlank="1" showInputMessage="1" showErrorMessage="1" sqref="AA23:AE23" xr:uid="{00000000-0002-0000-0B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/>
  <dimension ref="A1:AK86"/>
  <sheetViews>
    <sheetView topLeftCell="A28" zoomScale="80" zoomScaleNormal="80" zoomScaleSheetLayoutView="80" workbookViewId="0">
      <selection activeCell="AK62" sqref="AK62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3.44140625" style="1" customWidth="1"/>
    <col min="31" max="31" width="1.33203125" style="1" customWidth="1"/>
    <col min="32" max="32" width="3.109375" style="1" customWidth="1"/>
    <col min="33" max="33" width="11.44140625" style="1"/>
    <col min="34" max="34" width="24.109375" style="1" customWidth="1"/>
    <col min="35" max="35" width="19" style="1" customWidth="1"/>
    <col min="36" max="36" width="11.44140625" style="1"/>
    <col min="37" max="37" width="26.5546875" style="1" customWidth="1"/>
    <col min="38" max="16384" width="11.44140625" style="1"/>
  </cols>
  <sheetData>
    <row r="1" spans="1:32" ht="14.4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7.399999999999999" x14ac:dyDescent="0.25">
      <c r="A3" s="370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4"/>
    </row>
    <row r="4" spans="1:32" ht="17.399999999999999" x14ac:dyDescent="0.25">
      <c r="A4" s="59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8" x14ac:dyDescent="0.25">
      <c r="A6" s="371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8"/>
    </row>
    <row r="7" spans="1:32" ht="15.6" x14ac:dyDescent="0.25">
      <c r="A7" s="60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66"/>
    </row>
    <row r="11" spans="1:32" ht="15" customHeight="1" x14ac:dyDescent="0.25">
      <c r="A11" s="65"/>
      <c r="B11" s="381" t="s">
        <v>18</v>
      </c>
      <c r="C11" s="381"/>
      <c r="D11" s="381"/>
      <c r="E11" s="381"/>
      <c r="F11" s="381"/>
      <c r="G11" s="381"/>
      <c r="H11" s="382"/>
      <c r="I11" s="391" t="s">
        <v>104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66"/>
    </row>
    <row r="13" spans="1:32" x14ac:dyDescent="0.25">
      <c r="A13" s="65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66"/>
    </row>
    <row r="15" spans="1:32" x14ac:dyDescent="0.25">
      <c r="A15" s="65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66"/>
    </row>
    <row r="16" spans="1:32" ht="14.4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66"/>
    </row>
    <row r="17" spans="1:32" ht="21" customHeight="1" x14ac:dyDescent="0.25">
      <c r="A17" s="65"/>
      <c r="B17" s="381" t="s">
        <v>58</v>
      </c>
      <c r="C17" s="381"/>
      <c r="D17" s="381"/>
      <c r="E17" s="381"/>
      <c r="F17" s="381"/>
      <c r="G17" s="381"/>
      <c r="H17" s="381"/>
      <c r="I17" s="491" t="s">
        <v>92</v>
      </c>
      <c r="J17" s="492"/>
      <c r="K17" s="492"/>
      <c r="L17" s="492"/>
      <c r="M17" s="492"/>
      <c r="N17" s="492"/>
      <c r="O17" s="492"/>
      <c r="P17" s="492"/>
      <c r="Q17" s="49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2" ht="14.4" thickBot="1" x14ac:dyDescent="0.3">
      <c r="A18" s="65"/>
      <c r="B18" s="51"/>
      <c r="C18" s="51"/>
      <c r="D18" s="51"/>
      <c r="E18" s="51"/>
      <c r="F18" s="51"/>
      <c r="G18" s="14"/>
      <c r="H18" s="14"/>
      <c r="I18" s="494"/>
      <c r="J18" s="495"/>
      <c r="K18" s="495"/>
      <c r="L18" s="495"/>
      <c r="M18" s="495"/>
      <c r="N18" s="495"/>
      <c r="O18" s="495"/>
      <c r="P18" s="495"/>
      <c r="Q18" s="49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2" ht="33.75" customHeight="1" thickBot="1" x14ac:dyDescent="0.3">
      <c r="A19" s="65"/>
      <c r="B19" s="381" t="s">
        <v>59</v>
      </c>
      <c r="C19" s="381"/>
      <c r="D19" s="381"/>
      <c r="E19" s="381"/>
      <c r="F19" s="381"/>
      <c r="G19" s="381"/>
      <c r="H19" s="381"/>
      <c r="I19" s="497" t="s">
        <v>93</v>
      </c>
      <c r="J19" s="498"/>
      <c r="K19" s="498"/>
      <c r="L19" s="498"/>
      <c r="M19" s="498"/>
      <c r="N19" s="498"/>
      <c r="O19" s="498"/>
      <c r="P19" s="498"/>
      <c r="Q19" s="49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2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2" ht="15.6" x14ac:dyDescent="0.25">
      <c r="A21" s="60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62"/>
    </row>
    <row r="22" spans="1:32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</row>
    <row r="23" spans="1:32" x14ac:dyDescent="0.25">
      <c r="A23" s="60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67"/>
    </row>
    <row r="24" spans="1:32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</row>
    <row r="25" spans="1:32" x14ac:dyDescent="0.25">
      <c r="A25" s="60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9</v>
      </c>
      <c r="W25" s="210"/>
      <c r="X25" s="383" t="s">
        <v>39</v>
      </c>
      <c r="Y25" s="307"/>
      <c r="Z25" s="26"/>
      <c r="AA25" s="51" t="s">
        <v>40</v>
      </c>
      <c r="AB25" s="3"/>
      <c r="AC25" s="53"/>
      <c r="AD25" s="53"/>
      <c r="AE25" s="22"/>
      <c r="AF25" s="68"/>
    </row>
    <row r="26" spans="1:32" x14ac:dyDescent="0.25">
      <c r="A26" s="60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</row>
    <row r="27" spans="1:32" x14ac:dyDescent="0.25">
      <c r="A27" s="60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96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</row>
    <row r="28" spans="1:32" ht="14.4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</row>
    <row r="29" spans="1:32" ht="14.4" thickTop="1" x14ac:dyDescent="0.25">
      <c r="A29" s="65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</row>
    <row r="30" spans="1:32" x14ac:dyDescent="0.25">
      <c r="A30" s="65"/>
      <c r="B30" s="415" t="s">
        <v>79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</row>
    <row r="31" spans="1:32" x14ac:dyDescent="0.25">
      <c r="A31" s="65"/>
      <c r="B31" s="415" t="s">
        <v>6</v>
      </c>
      <c r="C31" s="416"/>
      <c r="D31" s="416"/>
      <c r="E31" s="416"/>
      <c r="F31" s="213"/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</row>
    <row r="32" spans="1:32" x14ac:dyDescent="0.25">
      <c r="A32" s="65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</row>
    <row r="33" spans="1:37" ht="14.4" thickBot="1" x14ac:dyDescent="0.3">
      <c r="A33" s="65"/>
      <c r="B33" s="420" t="s">
        <v>7</v>
      </c>
      <c r="C33" s="421"/>
      <c r="D33" s="421"/>
      <c r="E33" s="421"/>
      <c r="F33" s="422">
        <f>+F29+F30</f>
        <v>1098832907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</row>
    <row r="34" spans="1:37" ht="14.4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7" ht="15.6" x14ac:dyDescent="0.25">
      <c r="A35" s="60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62"/>
    </row>
    <row r="36" spans="1:37" ht="14.4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7" ht="49.5" customHeight="1" thickTop="1" x14ac:dyDescent="0.25">
      <c r="A37" s="65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66"/>
    </row>
    <row r="38" spans="1:37" x14ac:dyDescent="0.25">
      <c r="A38" s="65"/>
      <c r="B38" s="3"/>
      <c r="C38" s="430"/>
      <c r="D38" s="365">
        <v>42</v>
      </c>
      <c r="E38" s="365"/>
      <c r="F38" s="365"/>
      <c r="G38" s="365"/>
      <c r="H38" s="434"/>
      <c r="I38" s="246" t="s">
        <v>98</v>
      </c>
      <c r="J38" s="246"/>
      <c r="K38" s="246"/>
      <c r="L38" s="434"/>
      <c r="M38" s="247">
        <v>42460</v>
      </c>
      <c r="N38" s="248"/>
      <c r="O38" s="248"/>
      <c r="P38" s="249"/>
      <c r="Q38" s="437"/>
      <c r="R38" s="250" t="s">
        <v>99</v>
      </c>
      <c r="S38" s="250"/>
      <c r="T38" s="250"/>
      <c r="U38" s="250"/>
      <c r="V38" s="250"/>
      <c r="W38" s="250"/>
      <c r="X38" s="437"/>
      <c r="Y38" s="251">
        <f>abril!H2+abril!H3</f>
        <v>53335348.959162131</v>
      </c>
      <c r="Z38" s="251"/>
      <c r="AA38" s="251"/>
      <c r="AB38" s="251"/>
      <c r="AC38" s="440"/>
      <c r="AD38" s="53"/>
      <c r="AE38" s="53"/>
      <c r="AF38" s="66"/>
      <c r="AH38" s="81">
        <f>Y38*9</f>
        <v>480018140.63245916</v>
      </c>
      <c r="AI38" s="81">
        <v>488264948</v>
      </c>
      <c r="AK38" s="85"/>
    </row>
    <row r="39" spans="1:37" x14ac:dyDescent="0.25">
      <c r="A39" s="65"/>
      <c r="B39" s="3"/>
      <c r="C39" s="430"/>
      <c r="D39" s="365">
        <v>42</v>
      </c>
      <c r="E39" s="365"/>
      <c r="F39" s="365"/>
      <c r="G39" s="365"/>
      <c r="H39" s="434"/>
      <c r="I39" s="246" t="s">
        <v>98</v>
      </c>
      <c r="J39" s="246"/>
      <c r="K39" s="246"/>
      <c r="L39" s="434"/>
      <c r="M39" s="247">
        <v>42460</v>
      </c>
      <c r="N39" s="248"/>
      <c r="O39" s="248"/>
      <c r="P39" s="249"/>
      <c r="Q39" s="437"/>
      <c r="R39" s="258" t="s">
        <v>100</v>
      </c>
      <c r="S39" s="258"/>
      <c r="T39" s="258"/>
      <c r="U39" s="258"/>
      <c r="V39" s="258"/>
      <c r="W39" s="258"/>
      <c r="X39" s="437"/>
      <c r="Y39" s="251">
        <f>abril!H4+abril!H5</f>
        <v>61010134.903171241</v>
      </c>
      <c r="Z39" s="251"/>
      <c r="AA39" s="251"/>
      <c r="AB39" s="251"/>
      <c r="AC39" s="440"/>
      <c r="AD39" s="53"/>
      <c r="AE39" s="53"/>
      <c r="AF39" s="66"/>
      <c r="AH39" s="81">
        <f>Y39*9</f>
        <v>549091214.12854123</v>
      </c>
      <c r="AI39" s="81">
        <v>548493111</v>
      </c>
    </row>
    <row r="40" spans="1:37" x14ac:dyDescent="0.25">
      <c r="A40" s="65"/>
      <c r="B40" s="51"/>
      <c r="C40" s="430"/>
      <c r="D40" s="365">
        <v>42</v>
      </c>
      <c r="E40" s="365"/>
      <c r="F40" s="365"/>
      <c r="G40" s="365"/>
      <c r="H40" s="434"/>
      <c r="I40" s="246" t="s">
        <v>98</v>
      </c>
      <c r="J40" s="246"/>
      <c r="K40" s="246"/>
      <c r="L40" s="434"/>
      <c r="M40" s="247">
        <v>42460</v>
      </c>
      <c r="N40" s="248"/>
      <c r="O40" s="248"/>
      <c r="P40" s="249"/>
      <c r="Q40" s="437"/>
      <c r="R40" s="258" t="s">
        <v>101</v>
      </c>
      <c r="S40" s="258"/>
      <c r="T40" s="258"/>
      <c r="U40" s="258"/>
      <c r="V40" s="258"/>
      <c r="W40" s="258"/>
      <c r="X40" s="437"/>
      <c r="Y40" s="251">
        <f>abril!H6</f>
        <v>7747061.1376666315</v>
      </c>
      <c r="Z40" s="251"/>
      <c r="AA40" s="251"/>
      <c r="AB40" s="251"/>
      <c r="AC40" s="440"/>
      <c r="AD40" s="53"/>
      <c r="AE40" s="53"/>
      <c r="AF40" s="69"/>
      <c r="AH40" s="81">
        <f>Y40*9</f>
        <v>69723550.23899968</v>
      </c>
      <c r="AI40" s="81">
        <v>62074812</v>
      </c>
    </row>
    <row r="41" spans="1:37" x14ac:dyDescent="0.25">
      <c r="A41" s="65"/>
      <c r="B41" s="51"/>
      <c r="C41" s="430"/>
      <c r="D41" s="365"/>
      <c r="E41" s="365"/>
      <c r="F41" s="365"/>
      <c r="G41" s="365"/>
      <c r="H41" s="434"/>
      <c r="I41" s="442"/>
      <c r="J41" s="442"/>
      <c r="K41" s="442"/>
      <c r="L41" s="434"/>
      <c r="M41" s="443"/>
      <c r="N41" s="248"/>
      <c r="O41" s="248"/>
      <c r="P41" s="249"/>
      <c r="Q41" s="437"/>
      <c r="R41" s="258"/>
      <c r="S41" s="258"/>
      <c r="T41" s="258"/>
      <c r="U41" s="258"/>
      <c r="V41" s="258"/>
      <c r="W41" s="258"/>
      <c r="X41" s="437"/>
      <c r="Y41" s="251"/>
      <c r="Z41" s="251"/>
      <c r="AA41" s="251"/>
      <c r="AB41" s="251"/>
      <c r="AC41" s="440"/>
      <c r="AD41" s="14"/>
      <c r="AE41" s="53"/>
      <c r="AF41" s="66"/>
      <c r="AH41" s="81">
        <f>SUM(AH38:AH40)</f>
        <v>1098832905</v>
      </c>
      <c r="AI41" s="81">
        <f>SUM(AI38:AI40)</f>
        <v>1098832871</v>
      </c>
    </row>
    <row r="42" spans="1:37" ht="14.4" thickBot="1" x14ac:dyDescent="0.3">
      <c r="A42" s="65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66"/>
    </row>
    <row r="43" spans="1:37" ht="14.4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7" ht="15.6" x14ac:dyDescent="0.25">
      <c r="A44" s="60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62"/>
    </row>
    <row r="45" spans="1:37" ht="14.4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  <c r="AH45" s="81">
        <f>Y38*8</f>
        <v>426682791.67329705</v>
      </c>
      <c r="AI45" s="87">
        <f>AI38-AH45</f>
        <v>61582156.326702952</v>
      </c>
    </row>
    <row r="46" spans="1:37" ht="15" customHeight="1" thickTop="1" x14ac:dyDescent="0.25">
      <c r="A46" s="60"/>
      <c r="B46" s="3"/>
      <c r="C46" s="3"/>
      <c r="D46" s="3"/>
      <c r="E46" s="444" t="s">
        <v>70</v>
      </c>
      <c r="F46" s="445"/>
      <c r="G46" s="267">
        <v>1691400</v>
      </c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8459694314</v>
      </c>
      <c r="Y46" s="357"/>
      <c r="Z46" s="357"/>
      <c r="AA46" s="358"/>
      <c r="AB46" s="14"/>
      <c r="AC46" s="14"/>
      <c r="AD46" s="14"/>
      <c r="AE46" s="53"/>
      <c r="AF46" s="66"/>
      <c r="AH46" s="81">
        <f>Y39*8</f>
        <v>488081079.22536993</v>
      </c>
      <c r="AI46" s="87">
        <f>AI39-AH46</f>
        <v>60412031.77463007</v>
      </c>
    </row>
    <row r="47" spans="1:37" ht="14.4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  <c r="AH47" s="81">
        <f>Y40*8</f>
        <v>61976489.101333052</v>
      </c>
      <c r="AI47" s="87">
        <f>AI40-AH47</f>
        <v>98322.89866694808</v>
      </c>
    </row>
    <row r="48" spans="1:37" ht="15" customHeight="1" thickTop="1" x14ac:dyDescent="0.25">
      <c r="A48" s="60"/>
      <c r="B48" s="3"/>
      <c r="C48" s="3"/>
      <c r="D48" s="3"/>
      <c r="E48" s="455" t="s">
        <v>69</v>
      </c>
      <c r="F48" s="456"/>
      <c r="G48" s="281">
        <v>6785640</v>
      </c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8459694314</v>
      </c>
      <c r="Y48" s="357"/>
      <c r="Z48" s="357"/>
      <c r="AA48" s="358"/>
      <c r="AB48" s="14"/>
      <c r="AC48" s="14"/>
      <c r="AD48" s="14"/>
      <c r="AE48" s="53"/>
      <c r="AF48" s="66"/>
      <c r="AI48" s="1" t="s">
        <v>97</v>
      </c>
    </row>
    <row r="49" spans="1:37" ht="14.4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7" ht="15" customHeight="1" thickTop="1" thickBot="1" x14ac:dyDescent="0.3">
      <c r="A50" s="60"/>
      <c r="B50" s="3"/>
      <c r="C50" s="3"/>
      <c r="D50" s="3"/>
      <c r="E50" s="460" t="s">
        <v>67</v>
      </c>
      <c r="F50" s="461"/>
      <c r="G50" s="287">
        <v>1816600</v>
      </c>
      <c r="H50" s="287"/>
      <c r="I50" s="287"/>
      <c r="J50" s="287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8459694314</v>
      </c>
      <c r="Y50" s="357"/>
      <c r="Z50" s="357"/>
      <c r="AA50" s="358"/>
      <c r="AB50" s="14"/>
      <c r="AC50" s="14"/>
      <c r="AD50" s="14"/>
      <c r="AE50" s="53"/>
      <c r="AF50" s="66"/>
      <c r="AI50" s="1" t="s">
        <v>97</v>
      </c>
    </row>
    <row r="51" spans="1:37" ht="14.4" thickTop="1" x14ac:dyDescent="0.25">
      <c r="A51" s="60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66"/>
    </row>
    <row r="52" spans="1:37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K52" s="1">
        <f>W57*9</f>
        <v>1098832905</v>
      </c>
    </row>
    <row r="53" spans="1:37" ht="15.6" x14ac:dyDescent="0.25">
      <c r="A53" s="60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61"/>
      <c r="AK53" s="86">
        <f>F33-AK52</f>
        <v>2</v>
      </c>
    </row>
    <row r="54" spans="1:37" x14ac:dyDescent="0.25">
      <c r="A54" s="60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61"/>
      <c r="AK54" s="1" t="s">
        <v>110</v>
      </c>
    </row>
    <row r="55" spans="1:37" s="39" customFormat="1" ht="15" customHeight="1" x14ac:dyDescent="0.3">
      <c r="A55" s="70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61"/>
    </row>
    <row r="56" spans="1:37" s="39" customFormat="1" x14ac:dyDescent="0.3">
      <c r="A56" s="70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61"/>
    </row>
    <row r="57" spans="1:37" s="39" customFormat="1" x14ac:dyDescent="0.25">
      <c r="A57" s="70"/>
      <c r="B57" s="38"/>
      <c r="C57" s="329">
        <v>1</v>
      </c>
      <c r="D57" s="330"/>
      <c r="E57" s="359">
        <v>42675</v>
      </c>
      <c r="F57" s="360"/>
      <c r="G57" s="361"/>
      <c r="H57" s="359" t="s">
        <v>112</v>
      </c>
      <c r="I57" s="360"/>
      <c r="J57" s="361"/>
      <c r="K57" s="362">
        <f>pabril!K57*7</f>
        <v>0.77</v>
      </c>
      <c r="L57" s="363"/>
      <c r="M57" s="364"/>
      <c r="N57" s="310">
        <f>pabril!W57+pmayo!W57+junio!W57+julio!W57+agosto!W57+septiembre!W57+octubre!W57</f>
        <v>854647815</v>
      </c>
      <c r="O57" s="340"/>
      <c r="P57" s="341"/>
      <c r="Q57" s="345">
        <v>120169825</v>
      </c>
      <c r="R57" s="346"/>
      <c r="S57" s="347"/>
      <c r="T57" s="345">
        <v>1922720</v>
      </c>
      <c r="U57" s="346"/>
      <c r="V57" s="347"/>
      <c r="W57" s="476">
        <f>+Q57+T57</f>
        <v>122092545</v>
      </c>
      <c r="X57" s="477"/>
      <c r="Y57" s="477"/>
      <c r="Z57" s="478"/>
      <c r="AA57" s="476">
        <f>F33-N57-W57</f>
        <v>122092547</v>
      </c>
      <c r="AB57" s="477"/>
      <c r="AC57" s="478"/>
      <c r="AD57" s="38"/>
      <c r="AE57" s="10"/>
      <c r="AF57" s="61"/>
      <c r="AI57" s="84"/>
    </row>
    <row r="58" spans="1:37" s="39" customFormat="1" x14ac:dyDescent="0.3">
      <c r="A58" s="70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61"/>
      <c r="AI58" s="39">
        <v>1</v>
      </c>
    </row>
    <row r="59" spans="1:37" x14ac:dyDescent="0.25">
      <c r="A59" s="60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61"/>
      <c r="AI59" s="1">
        <v>16</v>
      </c>
    </row>
    <row r="60" spans="1:37" ht="15" customHeight="1" x14ac:dyDescent="0.25">
      <c r="A60" s="60"/>
      <c r="B60" s="10"/>
      <c r="C60" s="319" t="s">
        <v>113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61"/>
    </row>
    <row r="61" spans="1:37" x14ac:dyDescent="0.25">
      <c r="A61" s="60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61"/>
    </row>
    <row r="62" spans="1:37" x14ac:dyDescent="0.25">
      <c r="A62" s="60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61"/>
    </row>
    <row r="63" spans="1:37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7" ht="15.6" x14ac:dyDescent="0.25">
      <c r="A64" s="60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61"/>
    </row>
    <row r="65" spans="1:32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2" x14ac:dyDescent="0.25">
      <c r="A66" s="65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66"/>
    </row>
    <row r="67" spans="1:32" x14ac:dyDescent="0.25">
      <c r="A67" s="63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64"/>
    </row>
    <row r="68" spans="1:32" x14ac:dyDescent="0.25">
      <c r="A68" s="65"/>
      <c r="B68" s="344" t="str">
        <f>+I11</f>
        <v>PRESTACIÓN DE SERVICIOS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71"/>
    </row>
    <row r="69" spans="1:32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2" ht="32.25" customHeight="1" x14ac:dyDescent="0.25">
      <c r="A70" s="65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66"/>
    </row>
    <row r="71" spans="1:32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2" x14ac:dyDescent="0.25">
      <c r="A72" s="65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122092545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2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2" x14ac:dyDescent="0.25">
      <c r="A74" s="65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22</v>
      </c>
      <c r="O74" s="342"/>
      <c r="P74" s="51"/>
      <c r="Q74" s="48"/>
      <c r="R74" s="48">
        <v>11</v>
      </c>
      <c r="S74" s="48"/>
      <c r="T74" s="3"/>
      <c r="U74" s="343">
        <v>2016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2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2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2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2" x14ac:dyDescent="0.25">
      <c r="A78" s="65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2" ht="15.6" x14ac:dyDescent="0.25">
      <c r="A79" s="65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90"/>
    </row>
    <row r="80" spans="1:32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6" x14ac:dyDescent="0.25">
      <c r="A82" s="65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66"/>
    </row>
    <row r="83" spans="1:32" ht="14.4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</mergeCells>
  <dataValidations count="5">
    <dataValidation type="list" allowBlank="1" showInputMessage="1" showErrorMessage="1" sqref="AA23:AE23" xr:uid="{00000000-0002-0000-0C00-000000000000}">
      <formula1>"Corriente, Ahorro"</formula1>
    </dataValidation>
    <dataValidation type="list" allowBlank="1" showInputMessage="1" showErrorMessage="1" sqref="R23" xr:uid="{00000000-0002-0000-0C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C00-000002000000}">
      <formula1>"C.C.,C.E.,NIT.,PAS."</formula1>
    </dataValidation>
    <dataValidation allowBlank="1" showInputMessage="1" showErrorMessage="1" prompt="AÑO" sqref="O13" xr:uid="{00000000-0002-0000-0C00-000003000000}"/>
    <dataValidation type="list" allowBlank="1" showInputMessage="1" showErrorMessage="1" sqref="Q74" xr:uid="{00000000-0002-0000-0C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/>
  <dimension ref="A1:AK86"/>
  <sheetViews>
    <sheetView topLeftCell="A31" zoomScale="80" zoomScaleNormal="80" zoomScaleSheetLayoutView="80" workbookViewId="0">
      <selection activeCell="U74" sqref="U74:V74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3.44140625" style="1" customWidth="1"/>
    <col min="31" max="31" width="1.33203125" style="1" customWidth="1"/>
    <col min="32" max="32" width="3.109375" style="1" customWidth="1"/>
    <col min="33" max="33" width="11.44140625" style="1"/>
    <col min="34" max="34" width="24.109375" style="1" customWidth="1"/>
    <col min="35" max="35" width="19" style="1" customWidth="1"/>
    <col min="36" max="36" width="11.44140625" style="1"/>
    <col min="37" max="37" width="26.5546875" style="1" customWidth="1"/>
    <col min="38" max="16384" width="11.44140625" style="1"/>
  </cols>
  <sheetData>
    <row r="1" spans="1:32" ht="14.4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7.399999999999999" x14ac:dyDescent="0.25">
      <c r="A3" s="370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4"/>
    </row>
    <row r="4" spans="1:32" ht="17.399999999999999" x14ac:dyDescent="0.25">
      <c r="A4" s="59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8" x14ac:dyDescent="0.25">
      <c r="A6" s="371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8"/>
    </row>
    <row r="7" spans="1:32" ht="15.6" x14ac:dyDescent="0.25">
      <c r="A7" s="60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66"/>
    </row>
    <row r="11" spans="1:32" ht="15" customHeight="1" x14ac:dyDescent="0.25">
      <c r="A11" s="65"/>
      <c r="B11" s="381" t="s">
        <v>18</v>
      </c>
      <c r="C11" s="381"/>
      <c r="D11" s="381"/>
      <c r="E11" s="381"/>
      <c r="F11" s="381"/>
      <c r="G11" s="381"/>
      <c r="H11" s="382"/>
      <c r="I11" s="391" t="s">
        <v>104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66"/>
    </row>
    <row r="13" spans="1:32" x14ac:dyDescent="0.25">
      <c r="A13" s="65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66"/>
    </row>
    <row r="15" spans="1:32" x14ac:dyDescent="0.25">
      <c r="A15" s="65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66"/>
    </row>
    <row r="16" spans="1:32" ht="14.4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66"/>
    </row>
    <row r="17" spans="1:35" ht="21" customHeight="1" x14ac:dyDescent="0.25">
      <c r="A17" s="65"/>
      <c r="B17" s="381" t="s">
        <v>58</v>
      </c>
      <c r="C17" s="381"/>
      <c r="D17" s="381"/>
      <c r="E17" s="381"/>
      <c r="F17" s="381"/>
      <c r="G17" s="381"/>
      <c r="H17" s="381"/>
      <c r="I17" s="491" t="s">
        <v>92</v>
      </c>
      <c r="J17" s="492"/>
      <c r="K17" s="492"/>
      <c r="L17" s="492"/>
      <c r="M17" s="492"/>
      <c r="N17" s="492"/>
      <c r="O17" s="492"/>
      <c r="P17" s="492"/>
      <c r="Q17" s="49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5" ht="14.4" thickBot="1" x14ac:dyDescent="0.3">
      <c r="A18" s="65"/>
      <c r="B18" s="51"/>
      <c r="C18" s="51"/>
      <c r="D18" s="51"/>
      <c r="E18" s="51"/>
      <c r="F18" s="51"/>
      <c r="G18" s="14"/>
      <c r="H18" s="14"/>
      <c r="I18" s="494"/>
      <c r="J18" s="495"/>
      <c r="K18" s="495"/>
      <c r="L18" s="495"/>
      <c r="M18" s="495"/>
      <c r="N18" s="495"/>
      <c r="O18" s="495"/>
      <c r="P18" s="495"/>
      <c r="Q18" s="49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5" ht="33.75" customHeight="1" thickBot="1" x14ac:dyDescent="0.3">
      <c r="A19" s="65"/>
      <c r="B19" s="381" t="s">
        <v>59</v>
      </c>
      <c r="C19" s="381"/>
      <c r="D19" s="381"/>
      <c r="E19" s="381"/>
      <c r="F19" s="381"/>
      <c r="G19" s="381"/>
      <c r="H19" s="381"/>
      <c r="I19" s="497" t="s">
        <v>93</v>
      </c>
      <c r="J19" s="498"/>
      <c r="K19" s="498"/>
      <c r="L19" s="498"/>
      <c r="M19" s="498"/>
      <c r="N19" s="498"/>
      <c r="O19" s="498"/>
      <c r="P19" s="498"/>
      <c r="Q19" s="49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5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5" ht="15.6" x14ac:dyDescent="0.25">
      <c r="A21" s="60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62"/>
    </row>
    <row r="22" spans="1:35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  <c r="AI22" s="81">
        <v>82500000</v>
      </c>
    </row>
    <row r="23" spans="1:35" x14ac:dyDescent="0.25">
      <c r="A23" s="60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67"/>
      <c r="AI23" s="81">
        <v>77500000</v>
      </c>
    </row>
    <row r="24" spans="1:35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  <c r="AI24" s="81">
        <v>16093554</v>
      </c>
    </row>
    <row r="25" spans="1:35" x14ac:dyDescent="0.25">
      <c r="A25" s="60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9</v>
      </c>
      <c r="W25" s="210"/>
      <c r="X25" s="383" t="s">
        <v>39</v>
      </c>
      <c r="Y25" s="307"/>
      <c r="Z25" s="26"/>
      <c r="AA25" s="51" t="s">
        <v>40</v>
      </c>
      <c r="AB25" s="3"/>
      <c r="AC25" s="53"/>
      <c r="AD25" s="53"/>
      <c r="AE25" s="22"/>
      <c r="AF25" s="68"/>
      <c r="AI25" s="81">
        <v>40000000</v>
      </c>
    </row>
    <row r="26" spans="1:35" x14ac:dyDescent="0.25">
      <c r="A26" s="60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  <c r="AI26" s="81">
        <v>65000000</v>
      </c>
    </row>
    <row r="27" spans="1:35" x14ac:dyDescent="0.25">
      <c r="A27" s="60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96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  <c r="AI27" s="81">
        <v>37500000</v>
      </c>
    </row>
    <row r="28" spans="1:35" ht="14.4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  <c r="AI28" s="81">
        <v>25844500</v>
      </c>
    </row>
    <row r="29" spans="1:35" ht="14.4" thickTop="1" x14ac:dyDescent="0.25">
      <c r="A29" s="65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  <c r="AI29" s="81">
        <v>63745500</v>
      </c>
    </row>
    <row r="30" spans="1:35" x14ac:dyDescent="0.25">
      <c r="A30" s="65"/>
      <c r="B30" s="415" t="s">
        <v>79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  <c r="AI30" s="81"/>
    </row>
    <row r="31" spans="1:35" x14ac:dyDescent="0.25">
      <c r="A31" s="65"/>
      <c r="B31" s="415" t="s">
        <v>6</v>
      </c>
      <c r="C31" s="416"/>
      <c r="D31" s="416"/>
      <c r="E31" s="416"/>
      <c r="F31" s="213"/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  <c r="AI31" s="81">
        <v>12500000</v>
      </c>
    </row>
    <row r="32" spans="1:35" x14ac:dyDescent="0.25">
      <c r="A32" s="65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  <c r="AI32" s="81">
        <v>35942000</v>
      </c>
    </row>
    <row r="33" spans="1:37" ht="14.4" thickBot="1" x14ac:dyDescent="0.3">
      <c r="A33" s="65"/>
      <c r="B33" s="420" t="s">
        <v>7</v>
      </c>
      <c r="C33" s="421"/>
      <c r="D33" s="421"/>
      <c r="E33" s="421"/>
      <c r="F33" s="422">
        <f>+F29+F30</f>
        <v>1098832907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  <c r="AI33" s="81">
        <f>SUM(AI22:AI32)</f>
        <v>456625554</v>
      </c>
    </row>
    <row r="34" spans="1:37" ht="14.4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7" ht="15.6" x14ac:dyDescent="0.25">
      <c r="A35" s="60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62"/>
    </row>
    <row r="36" spans="1:37" ht="14.4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7" ht="49.5" customHeight="1" thickTop="1" x14ac:dyDescent="0.25">
      <c r="A37" s="65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66"/>
      <c r="AK37" s="81">
        <v>587090000</v>
      </c>
    </row>
    <row r="38" spans="1:37" x14ac:dyDescent="0.25">
      <c r="A38" s="65"/>
      <c r="B38" s="3"/>
      <c r="C38" s="430"/>
      <c r="D38" s="365">
        <v>42</v>
      </c>
      <c r="E38" s="365"/>
      <c r="F38" s="365"/>
      <c r="G38" s="365"/>
      <c r="H38" s="434"/>
      <c r="I38" s="246" t="s">
        <v>98</v>
      </c>
      <c r="J38" s="246"/>
      <c r="K38" s="246"/>
      <c r="L38" s="434"/>
      <c r="M38" s="247">
        <v>42460</v>
      </c>
      <c r="N38" s="248"/>
      <c r="O38" s="248"/>
      <c r="P38" s="249"/>
      <c r="Q38" s="437"/>
      <c r="R38" s="250" t="s">
        <v>99</v>
      </c>
      <c r="S38" s="250"/>
      <c r="T38" s="250"/>
      <c r="U38" s="250"/>
      <c r="V38" s="250"/>
      <c r="W38" s="250"/>
      <c r="X38" s="437"/>
      <c r="Y38" s="251">
        <f>AH59</f>
        <v>61582192</v>
      </c>
      <c r="Z38" s="251"/>
      <c r="AA38" s="251"/>
      <c r="AB38" s="251"/>
      <c r="AC38" s="440"/>
      <c r="AD38" s="53"/>
      <c r="AE38" s="53"/>
      <c r="AF38" s="66"/>
      <c r="AH38" s="81">
        <f>Y38*9</f>
        <v>554239728</v>
      </c>
      <c r="AI38" s="81">
        <v>488264984</v>
      </c>
      <c r="AK38" s="85">
        <f>AK37-1174180000</f>
        <v>-587090000</v>
      </c>
    </row>
    <row r="39" spans="1:37" x14ac:dyDescent="0.25">
      <c r="A39" s="65"/>
      <c r="B39" s="3"/>
      <c r="C39" s="430"/>
      <c r="D39" s="365">
        <v>42</v>
      </c>
      <c r="E39" s="365"/>
      <c r="F39" s="365"/>
      <c r="G39" s="365"/>
      <c r="H39" s="434"/>
      <c r="I39" s="246" t="s">
        <v>98</v>
      </c>
      <c r="J39" s="246"/>
      <c r="K39" s="246"/>
      <c r="L39" s="434"/>
      <c r="M39" s="247">
        <v>42460</v>
      </c>
      <c r="N39" s="248"/>
      <c r="O39" s="248"/>
      <c r="P39" s="249"/>
      <c r="Q39" s="437"/>
      <c r="R39" s="258" t="s">
        <v>100</v>
      </c>
      <c r="S39" s="258"/>
      <c r="T39" s="258"/>
      <c r="U39" s="258"/>
      <c r="V39" s="258"/>
      <c r="W39" s="258"/>
      <c r="X39" s="437"/>
      <c r="Y39" s="251">
        <f>AH60</f>
        <v>60412031</v>
      </c>
      <c r="Z39" s="251"/>
      <c r="AA39" s="251"/>
      <c r="AB39" s="251"/>
      <c r="AC39" s="440"/>
      <c r="AD39" s="53"/>
      <c r="AE39" s="53"/>
      <c r="AF39" s="66"/>
      <c r="AH39" s="81">
        <f>Y39*9</f>
        <v>543708279</v>
      </c>
      <c r="AI39" s="81">
        <v>548493111</v>
      </c>
      <c r="AK39" s="81">
        <v>456625554</v>
      </c>
    </row>
    <row r="40" spans="1:37" x14ac:dyDescent="0.25">
      <c r="A40" s="65"/>
      <c r="B40" s="51"/>
      <c r="C40" s="430"/>
      <c r="D40" s="365">
        <v>42</v>
      </c>
      <c r="E40" s="365"/>
      <c r="F40" s="365"/>
      <c r="G40" s="365"/>
      <c r="H40" s="434"/>
      <c r="I40" s="246" t="s">
        <v>98</v>
      </c>
      <c r="J40" s="246"/>
      <c r="K40" s="246"/>
      <c r="L40" s="434"/>
      <c r="M40" s="247">
        <v>42460</v>
      </c>
      <c r="N40" s="248"/>
      <c r="O40" s="248"/>
      <c r="P40" s="249"/>
      <c r="Q40" s="437"/>
      <c r="R40" s="258" t="s">
        <v>101</v>
      </c>
      <c r="S40" s="258"/>
      <c r="T40" s="258"/>
      <c r="U40" s="258"/>
      <c r="V40" s="258"/>
      <c r="W40" s="258"/>
      <c r="X40" s="437"/>
      <c r="Y40" s="251">
        <f>AH61</f>
        <v>98322</v>
      </c>
      <c r="Z40" s="251"/>
      <c r="AA40" s="251"/>
      <c r="AB40" s="251"/>
      <c r="AC40" s="440"/>
      <c r="AD40" s="53"/>
      <c r="AE40" s="53"/>
      <c r="AF40" s="69"/>
      <c r="AH40" s="81">
        <f>Y40*9</f>
        <v>884898</v>
      </c>
      <c r="AI40" s="81">
        <v>62074812</v>
      </c>
      <c r="AK40" s="81">
        <f>AK37-AK39</f>
        <v>130464446</v>
      </c>
    </row>
    <row r="41" spans="1:37" x14ac:dyDescent="0.25">
      <c r="A41" s="65"/>
      <c r="B41" s="51"/>
      <c r="C41" s="430"/>
      <c r="D41" s="365"/>
      <c r="E41" s="365"/>
      <c r="F41" s="365"/>
      <c r="G41" s="365"/>
      <c r="H41" s="434"/>
      <c r="I41" s="442"/>
      <c r="J41" s="442"/>
      <c r="K41" s="442"/>
      <c r="L41" s="434"/>
      <c r="M41" s="443"/>
      <c r="N41" s="248"/>
      <c r="O41" s="248"/>
      <c r="P41" s="249"/>
      <c r="Q41" s="437"/>
      <c r="R41" s="258"/>
      <c r="S41" s="258"/>
      <c r="T41" s="258"/>
      <c r="U41" s="258"/>
      <c r="V41" s="258"/>
      <c r="W41" s="258"/>
      <c r="X41" s="437"/>
      <c r="Y41" s="251"/>
      <c r="Z41" s="251"/>
      <c r="AA41" s="251"/>
      <c r="AB41" s="251"/>
      <c r="AC41" s="440"/>
      <c r="AD41" s="14"/>
      <c r="AE41" s="53"/>
      <c r="AF41" s="66"/>
      <c r="AH41" s="81">
        <f>SUM(AH38:AH40)</f>
        <v>1098832905</v>
      </c>
      <c r="AI41" s="81">
        <f>SUM(AI38:AI40)</f>
        <v>1098832907</v>
      </c>
    </row>
    <row r="42" spans="1:37" ht="14.4" thickBot="1" x14ac:dyDescent="0.3">
      <c r="A42" s="65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66"/>
    </row>
    <row r="43" spans="1:37" ht="14.4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7" ht="15.6" x14ac:dyDescent="0.25">
      <c r="A44" s="60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62"/>
    </row>
    <row r="45" spans="1:37" ht="14.4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  <c r="AH45" s="81">
        <f>Y38*8</f>
        <v>492657536</v>
      </c>
      <c r="AI45" s="87">
        <f>AI38-AH45</f>
        <v>-4392552</v>
      </c>
    </row>
    <row r="46" spans="1:37" ht="15" customHeight="1" thickTop="1" x14ac:dyDescent="0.25">
      <c r="A46" s="60"/>
      <c r="B46" s="3"/>
      <c r="C46" s="3"/>
      <c r="D46" s="3"/>
      <c r="E46" s="444" t="s">
        <v>70</v>
      </c>
      <c r="F46" s="445"/>
      <c r="G46" s="267">
        <v>1744900</v>
      </c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8460583618</v>
      </c>
      <c r="Y46" s="357"/>
      <c r="Z46" s="357"/>
      <c r="AA46" s="358"/>
      <c r="AB46" s="14"/>
      <c r="AC46" s="14"/>
      <c r="AD46" s="14"/>
      <c r="AE46" s="53"/>
      <c r="AF46" s="66"/>
      <c r="AH46" s="81">
        <f>Y39*8</f>
        <v>483296248</v>
      </c>
      <c r="AI46" s="87">
        <f>AI39-AH46</f>
        <v>65196863</v>
      </c>
    </row>
    <row r="47" spans="1:37" ht="14.4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  <c r="AH47" s="81">
        <f>Y40*8</f>
        <v>786576</v>
      </c>
      <c r="AI47" s="87">
        <f>AI40-AH47</f>
        <v>61288236</v>
      </c>
    </row>
    <row r="48" spans="1:37" ht="15" customHeight="1" thickTop="1" x14ac:dyDescent="0.25">
      <c r="A48" s="60"/>
      <c r="B48" s="3"/>
      <c r="C48" s="3"/>
      <c r="D48" s="3"/>
      <c r="E48" s="455" t="s">
        <v>69</v>
      </c>
      <c r="F48" s="456"/>
      <c r="G48" s="281">
        <v>6995900</v>
      </c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8460583618</v>
      </c>
      <c r="Y48" s="357"/>
      <c r="Z48" s="357"/>
      <c r="AA48" s="358"/>
      <c r="AB48" s="14"/>
      <c r="AC48" s="14"/>
      <c r="AD48" s="14"/>
      <c r="AE48" s="53"/>
      <c r="AF48" s="66"/>
      <c r="AI48" s="1" t="s">
        <v>97</v>
      </c>
    </row>
    <row r="49" spans="1:37" ht="14.4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37" ht="15" customHeight="1" thickTop="1" thickBot="1" x14ac:dyDescent="0.3">
      <c r="A50" s="60"/>
      <c r="B50" s="3"/>
      <c r="C50" s="3"/>
      <c r="D50" s="3"/>
      <c r="E50" s="460" t="s">
        <v>67</v>
      </c>
      <c r="F50" s="461"/>
      <c r="G50" s="287">
        <v>1863300</v>
      </c>
      <c r="H50" s="287"/>
      <c r="I50" s="287"/>
      <c r="J50" s="287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8460583618</v>
      </c>
      <c r="Y50" s="357"/>
      <c r="Z50" s="357"/>
      <c r="AA50" s="358"/>
      <c r="AB50" s="14"/>
      <c r="AC50" s="14"/>
      <c r="AD50" s="14"/>
      <c r="AE50" s="53"/>
      <c r="AF50" s="66"/>
      <c r="AI50" s="1" t="s">
        <v>97</v>
      </c>
    </row>
    <row r="51" spans="1:37" ht="14.4" thickTop="1" x14ac:dyDescent="0.25">
      <c r="A51" s="60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66"/>
    </row>
    <row r="52" spans="1:37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K52" s="1">
        <f>W57*9</f>
        <v>1098832905</v>
      </c>
    </row>
    <row r="53" spans="1:37" ht="15.6" x14ac:dyDescent="0.25">
      <c r="A53" s="60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61"/>
      <c r="AK53" s="86">
        <f>F33-AK52</f>
        <v>2</v>
      </c>
    </row>
    <row r="54" spans="1:37" x14ac:dyDescent="0.25">
      <c r="A54" s="60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61"/>
      <c r="AK54" s="1" t="s">
        <v>110</v>
      </c>
    </row>
    <row r="55" spans="1:37" s="39" customFormat="1" ht="15" customHeight="1" x14ac:dyDescent="0.3">
      <c r="A55" s="70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61"/>
    </row>
    <row r="56" spans="1:37" s="39" customFormat="1" x14ac:dyDescent="0.3">
      <c r="A56" s="70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61"/>
    </row>
    <row r="57" spans="1:37" s="39" customFormat="1" x14ac:dyDescent="0.25">
      <c r="A57" s="70"/>
      <c r="B57" s="38"/>
      <c r="C57" s="329">
        <v>1</v>
      </c>
      <c r="D57" s="330"/>
      <c r="E57" s="359">
        <v>42705</v>
      </c>
      <c r="F57" s="360"/>
      <c r="G57" s="361"/>
      <c r="H57" s="359">
        <v>42735</v>
      </c>
      <c r="I57" s="360"/>
      <c r="J57" s="361"/>
      <c r="K57" s="362">
        <v>1</v>
      </c>
      <c r="L57" s="363"/>
      <c r="M57" s="364"/>
      <c r="N57" s="310">
        <f>pabril!W57+pmayo!W57+junio!W57+julio!W57+agosto!W57+septiembre!W57+octubre!W57+noviembre!W57</f>
        <v>976740360</v>
      </c>
      <c r="O57" s="340"/>
      <c r="P57" s="341"/>
      <c r="Q57" s="345">
        <v>120169825</v>
      </c>
      <c r="R57" s="346"/>
      <c r="S57" s="347"/>
      <c r="T57" s="345">
        <v>1922720</v>
      </c>
      <c r="U57" s="346"/>
      <c r="V57" s="347"/>
      <c r="W57" s="476">
        <f>+Q57+T57</f>
        <v>122092545</v>
      </c>
      <c r="X57" s="477"/>
      <c r="Y57" s="477"/>
      <c r="Z57" s="478"/>
      <c r="AA57" s="476">
        <f>F33-N57-W57</f>
        <v>2</v>
      </c>
      <c r="AB57" s="477"/>
      <c r="AC57" s="478"/>
      <c r="AD57" s="38"/>
      <c r="AE57" s="10"/>
      <c r="AF57" s="61"/>
      <c r="AI57" s="84"/>
    </row>
    <row r="58" spans="1:37" s="39" customFormat="1" x14ac:dyDescent="0.3">
      <c r="A58" s="70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61"/>
      <c r="AI58" s="39">
        <v>1</v>
      </c>
    </row>
    <row r="59" spans="1:37" ht="14.4" thickBot="1" x14ac:dyDescent="0.3">
      <c r="A59" s="60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61"/>
      <c r="AH59" s="88">
        <v>61582192</v>
      </c>
      <c r="AI59" s="1">
        <v>16</v>
      </c>
    </row>
    <row r="60" spans="1:37" ht="15" customHeight="1" thickBot="1" x14ac:dyDescent="0.3">
      <c r="A60" s="60"/>
      <c r="B60" s="10"/>
      <c r="C60" s="319" t="s">
        <v>114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61"/>
      <c r="AH60" s="88">
        <v>60412031</v>
      </c>
    </row>
    <row r="61" spans="1:37" ht="14.4" thickBot="1" x14ac:dyDescent="0.3">
      <c r="A61" s="60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61"/>
      <c r="AH61" s="88">
        <v>98322</v>
      </c>
    </row>
    <row r="62" spans="1:37" x14ac:dyDescent="0.25">
      <c r="A62" s="60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61"/>
    </row>
    <row r="63" spans="1:37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37" ht="15.6" x14ac:dyDescent="0.25">
      <c r="A64" s="60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61"/>
    </row>
    <row r="65" spans="1:35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</row>
    <row r="66" spans="1:35" x14ac:dyDescent="0.25">
      <c r="A66" s="65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66"/>
    </row>
    <row r="67" spans="1:35" x14ac:dyDescent="0.25">
      <c r="A67" s="63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64"/>
      <c r="AI67" s="89">
        <f>W57*9</f>
        <v>1098832905</v>
      </c>
    </row>
    <row r="68" spans="1:35" x14ac:dyDescent="0.25">
      <c r="A68" s="65"/>
      <c r="B68" s="344" t="str">
        <f>+I11</f>
        <v>PRESTACIÓN DE SERVICIOS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71"/>
      <c r="AI68" s="87">
        <f>AI41-AI67</f>
        <v>2</v>
      </c>
    </row>
    <row r="69" spans="1:35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5" ht="32.25" customHeight="1" x14ac:dyDescent="0.25">
      <c r="A70" s="65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66"/>
    </row>
    <row r="71" spans="1:35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5" x14ac:dyDescent="0.25">
      <c r="A72" s="65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122092545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5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5" x14ac:dyDescent="0.25">
      <c r="A74" s="65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30</v>
      </c>
      <c r="O74" s="342"/>
      <c r="P74" s="51"/>
      <c r="Q74" s="48"/>
      <c r="R74" s="48">
        <v>12</v>
      </c>
      <c r="S74" s="48"/>
      <c r="T74" s="3"/>
      <c r="U74" s="343">
        <v>2016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5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5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5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5" x14ac:dyDescent="0.25">
      <c r="A78" s="65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5" ht="15.6" x14ac:dyDescent="0.25">
      <c r="A79" s="65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90"/>
    </row>
    <row r="80" spans="1:35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6" x14ac:dyDescent="0.25">
      <c r="A82" s="65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66"/>
    </row>
    <row r="83" spans="1:32" ht="14.4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Q74" xr:uid="{00000000-0002-0000-0D00-000000000000}">
      <formula1>#REF!</formula1>
    </dataValidation>
    <dataValidation allowBlank="1" showInputMessage="1" showErrorMessage="1" prompt="AÑO" sqref="O13" xr:uid="{00000000-0002-0000-0D00-000001000000}"/>
    <dataValidation type="list" allowBlank="1" showInputMessage="1" showErrorMessage="1" prompt="C.C.:Cédula de Ciudadanía; C.E.:Cédula de Extranjería; NIT.: Número de Identificación Tributaria; PAS.: Pasaporte" sqref="I15:J15" xr:uid="{00000000-0002-0000-0D00-000002000000}">
      <formula1>"C.C.,C.E.,NIT.,PAS."</formula1>
    </dataValidation>
    <dataValidation type="list" allowBlank="1" showInputMessage="1" showErrorMessage="1" sqref="R23" xr:uid="{00000000-0002-0000-0D00-000003000000}">
      <formula1>"Banco de Bogotá, Bancolombia, Banco Pupular"</formula1>
    </dataValidation>
    <dataValidation type="list" allowBlank="1" showInputMessage="1" showErrorMessage="1" sqref="AA23:AE23" xr:uid="{00000000-0002-0000-0D00-000004000000}">
      <formula1>"Corriente, Ahorro"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/>
  <dimension ref="A1:AN86"/>
  <sheetViews>
    <sheetView topLeftCell="A37" zoomScale="80" zoomScaleNormal="80" zoomScaleSheetLayoutView="80" workbookViewId="0">
      <selection activeCell="AH57" sqref="AH57"/>
    </sheetView>
  </sheetViews>
  <sheetFormatPr baseColWidth="10" defaultColWidth="11.44140625" defaultRowHeight="13.8" x14ac:dyDescent="0.25"/>
  <cols>
    <col min="1" max="1" width="1.88671875" style="1" customWidth="1"/>
    <col min="2" max="2" width="8.6640625" style="1" customWidth="1"/>
    <col min="3" max="3" width="7" style="1" customWidth="1"/>
    <col min="4" max="4" width="4.5546875" style="1" customWidth="1"/>
    <col min="5" max="5" width="6.6640625" style="1" customWidth="1"/>
    <col min="6" max="6" width="10" style="1" customWidth="1"/>
    <col min="7" max="7" width="4.33203125" style="1" customWidth="1"/>
    <col min="8" max="8" width="4" style="1" customWidth="1"/>
    <col min="9" max="9" width="7.88671875" style="1" customWidth="1"/>
    <col min="10" max="10" width="5.33203125" style="1" customWidth="1"/>
    <col min="11" max="11" width="8.6640625" style="1" customWidth="1"/>
    <col min="12" max="12" width="5.6640625" style="1" customWidth="1"/>
    <col min="13" max="13" width="6.88671875" style="1" customWidth="1"/>
    <col min="14" max="14" width="8" style="1" customWidth="1"/>
    <col min="15" max="15" width="4.5546875" style="1" customWidth="1"/>
    <col min="16" max="16" width="3.6640625" style="1" customWidth="1"/>
    <col min="17" max="17" width="5.44140625" style="1" customWidth="1"/>
    <col min="18" max="18" width="4.88671875" style="1" customWidth="1"/>
    <col min="19" max="19" width="5.88671875" style="1" customWidth="1"/>
    <col min="20" max="20" width="4.88671875" style="1" customWidth="1"/>
    <col min="21" max="21" width="4.5546875" style="1" customWidth="1"/>
    <col min="22" max="22" width="6" style="1" customWidth="1"/>
    <col min="23" max="23" width="4.5546875" style="1" customWidth="1"/>
    <col min="24" max="24" width="3.6640625" style="1" customWidth="1"/>
    <col min="25" max="25" width="6.6640625" style="1" customWidth="1"/>
    <col min="26" max="26" width="5.33203125" style="1" customWidth="1"/>
    <col min="27" max="27" width="6.33203125" style="1" customWidth="1"/>
    <col min="28" max="28" width="6.6640625" style="1" customWidth="1"/>
    <col min="29" max="29" width="4.6640625" style="1" customWidth="1"/>
    <col min="30" max="30" width="3.44140625" style="1" customWidth="1"/>
    <col min="31" max="31" width="1.33203125" style="1" customWidth="1"/>
    <col min="32" max="32" width="3.109375" style="1" customWidth="1"/>
    <col min="33" max="33" width="11.44140625" style="1"/>
    <col min="34" max="34" width="26.88671875" style="1" customWidth="1"/>
    <col min="35" max="35" width="24.109375" style="1" customWidth="1"/>
    <col min="36" max="36" width="19" style="1" customWidth="1"/>
    <col min="37" max="37" width="11.44140625" style="1"/>
    <col min="38" max="38" width="26.5546875" style="1" customWidth="1"/>
    <col min="39" max="39" width="11.44140625" style="1"/>
    <col min="40" max="40" width="13.88671875" style="1" bestFit="1" customWidth="1"/>
    <col min="41" max="16384" width="11.44140625" style="1"/>
  </cols>
  <sheetData>
    <row r="1" spans="1:32" ht="14.4" thickBot="1" x14ac:dyDescent="0.3"/>
    <row r="2" spans="1:32" ht="28.5" customHeight="1" x14ac:dyDescent="0.2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1:32" ht="17.399999999999999" x14ac:dyDescent="0.25">
      <c r="A3" s="370" t="s">
        <v>65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4"/>
    </row>
    <row r="4" spans="1:32" ht="17.399999999999999" x14ac:dyDescent="0.25">
      <c r="A4" s="59"/>
      <c r="B4" s="135" t="s">
        <v>0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</row>
    <row r="5" spans="1:32" x14ac:dyDescent="0.25">
      <c r="A5" s="6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61"/>
    </row>
    <row r="6" spans="1:32" ht="16.8" x14ac:dyDescent="0.25">
      <c r="A6" s="371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8"/>
    </row>
    <row r="7" spans="1:32" ht="15.6" x14ac:dyDescent="0.25">
      <c r="A7" s="60"/>
      <c r="B7" s="139" t="s">
        <v>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62"/>
    </row>
    <row r="8" spans="1:32" x14ac:dyDescent="0.25">
      <c r="A8" s="6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64"/>
    </row>
    <row r="9" spans="1:32" ht="30" customHeight="1" x14ac:dyDescent="0.25">
      <c r="A9" s="63"/>
      <c r="B9" s="381" t="s">
        <v>57</v>
      </c>
      <c r="C9" s="381"/>
      <c r="D9" s="381"/>
      <c r="E9" s="381"/>
      <c r="F9" s="381"/>
      <c r="G9" s="381"/>
      <c r="H9" s="382"/>
      <c r="I9" s="391" t="s">
        <v>89</v>
      </c>
      <c r="J9" s="392"/>
      <c r="K9" s="392"/>
      <c r="L9" s="392"/>
      <c r="M9" s="392"/>
      <c r="N9" s="392"/>
      <c r="O9" s="392"/>
      <c r="P9" s="392"/>
      <c r="Q9" s="393"/>
      <c r="R9" s="3"/>
      <c r="S9" s="326" t="s">
        <v>1</v>
      </c>
      <c r="T9" s="326"/>
      <c r="U9" s="394" t="s">
        <v>90</v>
      </c>
      <c r="V9" s="395"/>
      <c r="W9" s="395"/>
      <c r="X9" s="395"/>
      <c r="Y9" s="395"/>
      <c r="Z9" s="395"/>
      <c r="AA9" s="395"/>
      <c r="AB9" s="395"/>
      <c r="AC9" s="395"/>
      <c r="AD9" s="395"/>
      <c r="AE9" s="396"/>
      <c r="AF9" s="64"/>
    </row>
    <row r="10" spans="1:32" x14ac:dyDescent="0.25">
      <c r="A10" s="65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97"/>
      <c r="V10" s="398"/>
      <c r="W10" s="398"/>
      <c r="X10" s="398"/>
      <c r="Y10" s="398"/>
      <c r="Z10" s="398"/>
      <c r="AA10" s="398"/>
      <c r="AB10" s="398"/>
      <c r="AC10" s="398"/>
      <c r="AD10" s="398"/>
      <c r="AE10" s="399"/>
      <c r="AF10" s="66"/>
    </row>
    <row r="11" spans="1:32" ht="15" customHeight="1" x14ac:dyDescent="0.25">
      <c r="A11" s="65"/>
      <c r="B11" s="381" t="s">
        <v>18</v>
      </c>
      <c r="C11" s="381"/>
      <c r="D11" s="381"/>
      <c r="E11" s="381"/>
      <c r="F11" s="381"/>
      <c r="G11" s="381"/>
      <c r="H11" s="382"/>
      <c r="I11" s="391" t="s">
        <v>104</v>
      </c>
      <c r="J11" s="403"/>
      <c r="K11" s="403"/>
      <c r="L11" s="403"/>
      <c r="M11" s="403"/>
      <c r="N11" s="403"/>
      <c r="O11" s="403"/>
      <c r="P11" s="403"/>
      <c r="Q11" s="404"/>
      <c r="R11" s="14"/>
      <c r="S11" s="16"/>
      <c r="U11" s="397"/>
      <c r="V11" s="398"/>
      <c r="W11" s="398"/>
      <c r="X11" s="398"/>
      <c r="Y11" s="398"/>
      <c r="Z11" s="398"/>
      <c r="AA11" s="398"/>
      <c r="AB11" s="398"/>
      <c r="AC11" s="398"/>
      <c r="AD11" s="398"/>
      <c r="AE11" s="399"/>
      <c r="AF11" s="66"/>
    </row>
    <row r="12" spans="1:32" x14ac:dyDescent="0.25">
      <c r="A12" s="65"/>
      <c r="B12" s="51"/>
      <c r="C12" s="51"/>
      <c r="D12" s="51"/>
      <c r="E12" s="51"/>
      <c r="F12" s="51"/>
      <c r="G12" s="14"/>
      <c r="H12" s="14"/>
      <c r="I12" s="49"/>
      <c r="J12" s="49"/>
      <c r="K12" s="49"/>
      <c r="L12" s="49"/>
      <c r="M12" s="49"/>
      <c r="N12" s="49"/>
      <c r="O12" s="49"/>
      <c r="P12" s="49"/>
      <c r="Q12" s="49"/>
      <c r="R12" s="14"/>
      <c r="S12" s="14"/>
      <c r="T12" s="14"/>
      <c r="U12" s="397"/>
      <c r="V12" s="398"/>
      <c r="W12" s="398"/>
      <c r="X12" s="398"/>
      <c r="Y12" s="398"/>
      <c r="Z12" s="398"/>
      <c r="AA12" s="398"/>
      <c r="AB12" s="398"/>
      <c r="AC12" s="398"/>
      <c r="AD12" s="398"/>
      <c r="AE12" s="399"/>
      <c r="AF12" s="66"/>
    </row>
    <row r="13" spans="1:32" x14ac:dyDescent="0.25">
      <c r="A13" s="65"/>
      <c r="B13" s="381" t="s">
        <v>19</v>
      </c>
      <c r="C13" s="381"/>
      <c r="D13" s="381"/>
      <c r="E13" s="381"/>
      <c r="F13" s="381"/>
      <c r="G13" s="381"/>
      <c r="H13" s="382"/>
      <c r="I13" s="173">
        <v>89</v>
      </c>
      <c r="J13" s="175"/>
      <c r="K13" s="383" t="s">
        <v>2</v>
      </c>
      <c r="L13" s="307"/>
      <c r="M13" s="307"/>
      <c r="N13" s="307"/>
      <c r="O13" s="173">
        <v>2016</v>
      </c>
      <c r="P13" s="174"/>
      <c r="Q13" s="175"/>
      <c r="R13" s="14"/>
      <c r="S13" s="14"/>
      <c r="T13" s="14"/>
      <c r="U13" s="397"/>
      <c r="V13" s="398"/>
      <c r="W13" s="398"/>
      <c r="X13" s="398"/>
      <c r="Y13" s="398"/>
      <c r="Z13" s="398"/>
      <c r="AA13" s="398"/>
      <c r="AB13" s="398"/>
      <c r="AC13" s="398"/>
      <c r="AD13" s="398"/>
      <c r="AE13" s="399"/>
      <c r="AF13" s="66"/>
    </row>
    <row r="14" spans="1:32" x14ac:dyDescent="0.25">
      <c r="A14" s="65"/>
      <c r="B14" s="51"/>
      <c r="C14" s="51"/>
      <c r="D14" s="51"/>
      <c r="E14" s="51"/>
      <c r="F14" s="51"/>
      <c r="G14" s="14"/>
      <c r="H14" s="14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14"/>
      <c r="T14" s="14"/>
      <c r="U14" s="397"/>
      <c r="V14" s="398"/>
      <c r="W14" s="398"/>
      <c r="X14" s="398"/>
      <c r="Y14" s="398"/>
      <c r="Z14" s="398"/>
      <c r="AA14" s="398"/>
      <c r="AB14" s="398"/>
      <c r="AC14" s="398"/>
      <c r="AD14" s="398"/>
      <c r="AE14" s="399"/>
      <c r="AF14" s="66"/>
    </row>
    <row r="15" spans="1:32" x14ac:dyDescent="0.25">
      <c r="A15" s="65"/>
      <c r="B15" s="381" t="s">
        <v>20</v>
      </c>
      <c r="C15" s="381"/>
      <c r="D15" s="381"/>
      <c r="E15" s="381"/>
      <c r="F15" s="381"/>
      <c r="G15" s="381"/>
      <c r="H15" s="382"/>
      <c r="I15" s="384" t="s">
        <v>78</v>
      </c>
      <c r="J15" s="385"/>
      <c r="K15" s="18" t="s">
        <v>3</v>
      </c>
      <c r="L15" s="178" t="s">
        <v>91</v>
      </c>
      <c r="M15" s="179"/>
      <c r="N15" s="179"/>
      <c r="O15" s="179"/>
      <c r="P15" s="179"/>
      <c r="Q15" s="180"/>
      <c r="R15" s="14"/>
      <c r="S15" s="14"/>
      <c r="T15" s="14"/>
      <c r="U15" s="397"/>
      <c r="V15" s="398"/>
      <c r="W15" s="398"/>
      <c r="X15" s="398"/>
      <c r="Y15" s="398"/>
      <c r="Z15" s="398"/>
      <c r="AA15" s="398"/>
      <c r="AB15" s="398"/>
      <c r="AC15" s="398"/>
      <c r="AD15" s="398"/>
      <c r="AE15" s="399"/>
      <c r="AF15" s="66"/>
    </row>
    <row r="16" spans="1:32" ht="14.4" thickBot="1" x14ac:dyDescent="0.3">
      <c r="A16" s="65"/>
      <c r="B16" s="51"/>
      <c r="C16" s="51"/>
      <c r="D16" s="51"/>
      <c r="E16" s="51"/>
      <c r="F16" s="51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14"/>
      <c r="T16" s="14"/>
      <c r="U16" s="400"/>
      <c r="V16" s="401"/>
      <c r="W16" s="401"/>
      <c r="X16" s="401"/>
      <c r="Y16" s="401"/>
      <c r="Z16" s="401"/>
      <c r="AA16" s="401"/>
      <c r="AB16" s="401"/>
      <c r="AC16" s="401"/>
      <c r="AD16" s="401"/>
      <c r="AE16" s="402"/>
      <c r="AF16" s="66"/>
    </row>
    <row r="17" spans="1:36" ht="21" customHeight="1" x14ac:dyDescent="0.25">
      <c r="A17" s="65"/>
      <c r="B17" s="381" t="s">
        <v>58</v>
      </c>
      <c r="C17" s="381"/>
      <c r="D17" s="381"/>
      <c r="E17" s="381"/>
      <c r="F17" s="381"/>
      <c r="G17" s="381"/>
      <c r="H17" s="381"/>
      <c r="I17" s="491" t="s">
        <v>92</v>
      </c>
      <c r="J17" s="492"/>
      <c r="K17" s="492"/>
      <c r="L17" s="492"/>
      <c r="M17" s="492"/>
      <c r="N17" s="492"/>
      <c r="O17" s="492"/>
      <c r="P17" s="492"/>
      <c r="Q17" s="49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66"/>
    </row>
    <row r="18" spans="1:36" ht="14.4" thickBot="1" x14ac:dyDescent="0.3">
      <c r="A18" s="65"/>
      <c r="B18" s="51"/>
      <c r="C18" s="51"/>
      <c r="D18" s="51"/>
      <c r="E18" s="51"/>
      <c r="F18" s="51"/>
      <c r="G18" s="14"/>
      <c r="H18" s="14"/>
      <c r="I18" s="494"/>
      <c r="J18" s="495"/>
      <c r="K18" s="495"/>
      <c r="L18" s="495"/>
      <c r="M18" s="495"/>
      <c r="N18" s="495"/>
      <c r="O18" s="495"/>
      <c r="P18" s="495"/>
      <c r="Q18" s="496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66"/>
    </row>
    <row r="19" spans="1:36" ht="33.75" customHeight="1" thickBot="1" x14ac:dyDescent="0.3">
      <c r="A19" s="65"/>
      <c r="B19" s="381" t="s">
        <v>59</v>
      </c>
      <c r="C19" s="381"/>
      <c r="D19" s="381"/>
      <c r="E19" s="381"/>
      <c r="F19" s="381"/>
      <c r="G19" s="381"/>
      <c r="H19" s="381"/>
      <c r="I19" s="497" t="s">
        <v>93</v>
      </c>
      <c r="J19" s="498"/>
      <c r="K19" s="498"/>
      <c r="L19" s="498"/>
      <c r="M19" s="498"/>
      <c r="N19" s="498"/>
      <c r="O19" s="498"/>
      <c r="P19" s="498"/>
      <c r="Q19" s="49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66"/>
    </row>
    <row r="20" spans="1:36" x14ac:dyDescent="0.25">
      <c r="A20" s="65"/>
      <c r="B20" s="51"/>
      <c r="C20" s="51"/>
      <c r="D20" s="51"/>
      <c r="E20" s="51"/>
      <c r="F20" s="51"/>
      <c r="G20" s="14"/>
      <c r="H20" s="14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66"/>
    </row>
    <row r="21" spans="1:36" ht="15.6" x14ac:dyDescent="0.25">
      <c r="A21" s="60"/>
      <c r="B21" s="139" t="s">
        <v>22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62"/>
    </row>
    <row r="22" spans="1:36" x14ac:dyDescent="0.25">
      <c r="A22" s="6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1"/>
      <c r="AJ22" s="81">
        <v>82500000</v>
      </c>
    </row>
    <row r="23" spans="1:36" x14ac:dyDescent="0.25">
      <c r="A23" s="60"/>
      <c r="B23" s="406" t="s">
        <v>60</v>
      </c>
      <c r="C23" s="406"/>
      <c r="D23" s="406"/>
      <c r="E23" s="406"/>
      <c r="F23" s="407"/>
      <c r="G23" s="186" t="s">
        <v>94</v>
      </c>
      <c r="H23" s="187"/>
      <c r="I23" s="187"/>
      <c r="J23" s="187"/>
      <c r="K23" s="187"/>
      <c r="L23" s="187"/>
      <c r="M23" s="187"/>
      <c r="N23" s="187"/>
      <c r="O23" s="188"/>
      <c r="P23" s="408" t="s">
        <v>4</v>
      </c>
      <c r="Q23" s="409"/>
      <c r="R23" s="191" t="s">
        <v>75</v>
      </c>
      <c r="S23" s="192"/>
      <c r="T23" s="192"/>
      <c r="U23" s="192"/>
      <c r="V23" s="192"/>
      <c r="W23" s="192"/>
      <c r="X23" s="193"/>
      <c r="Y23" s="408" t="s">
        <v>5</v>
      </c>
      <c r="Z23" s="410"/>
      <c r="AA23" s="205" t="s">
        <v>27</v>
      </c>
      <c r="AB23" s="206"/>
      <c r="AC23" s="206"/>
      <c r="AD23" s="206"/>
      <c r="AE23" s="207"/>
      <c r="AF23" s="67"/>
      <c r="AJ23" s="81">
        <v>77500000</v>
      </c>
    </row>
    <row r="24" spans="1:36" x14ac:dyDescent="0.25">
      <c r="A24" s="60"/>
      <c r="B24" s="21"/>
      <c r="C24" s="21"/>
      <c r="D24" s="10"/>
      <c r="E24" s="10"/>
      <c r="F24" s="10"/>
      <c r="G24" s="10"/>
      <c r="H24" s="10"/>
      <c r="I24" s="10"/>
      <c r="J24" s="10"/>
      <c r="K24" s="22"/>
      <c r="L24" s="22"/>
      <c r="M24" s="22"/>
      <c r="N24" s="22"/>
      <c r="O24" s="22"/>
      <c r="P24" s="10"/>
      <c r="Q24" s="10"/>
      <c r="R24" s="10"/>
      <c r="S24" s="22"/>
      <c r="T24" s="22"/>
      <c r="U24" s="22"/>
      <c r="V24" s="22"/>
      <c r="W24" s="22"/>
      <c r="X24" s="23"/>
      <c r="Y24" s="23"/>
      <c r="Z24" s="23"/>
      <c r="AA24" s="22"/>
      <c r="AB24" s="22"/>
      <c r="AC24" s="22"/>
      <c r="AD24" s="22"/>
      <c r="AE24" s="22"/>
      <c r="AF24" s="68"/>
      <c r="AJ24" s="81">
        <v>16093554</v>
      </c>
    </row>
    <row r="25" spans="1:36" x14ac:dyDescent="0.25">
      <c r="A25" s="60"/>
      <c r="B25" s="406" t="s">
        <v>62</v>
      </c>
      <c r="C25" s="406"/>
      <c r="D25" s="406"/>
      <c r="E25" s="406"/>
      <c r="F25" s="406"/>
      <c r="G25" s="406"/>
      <c r="H25" s="406"/>
      <c r="I25" s="407"/>
      <c r="J25" s="196" t="s">
        <v>95</v>
      </c>
      <c r="K25" s="197"/>
      <c r="L25" s="197"/>
      <c r="M25" s="198"/>
      <c r="N25" s="25"/>
      <c r="O25" s="25"/>
      <c r="P25" s="25"/>
      <c r="Q25" s="25"/>
      <c r="R25" s="326" t="s">
        <v>8</v>
      </c>
      <c r="S25" s="326"/>
      <c r="T25" s="326"/>
      <c r="U25" s="414"/>
      <c r="V25" s="209">
        <v>10</v>
      </c>
      <c r="W25" s="210"/>
      <c r="X25" s="383" t="s">
        <v>39</v>
      </c>
      <c r="Y25" s="307"/>
      <c r="Z25" s="26">
        <v>15</v>
      </c>
      <c r="AA25" s="51" t="s">
        <v>40</v>
      </c>
      <c r="AB25" s="3"/>
      <c r="AC25" s="53"/>
      <c r="AD25" s="53"/>
      <c r="AE25" s="22"/>
      <c r="AF25" s="68"/>
      <c r="AJ25" s="81">
        <v>40000000</v>
      </c>
    </row>
    <row r="26" spans="1:36" x14ac:dyDescent="0.25">
      <c r="A26" s="60"/>
      <c r="B26" s="21"/>
      <c r="C26" s="21"/>
      <c r="D26" s="10"/>
      <c r="E26" s="10"/>
      <c r="F26" s="27"/>
      <c r="G26" s="55"/>
      <c r="H26" s="411"/>
      <c r="I26" s="411"/>
      <c r="J26" s="22"/>
      <c r="K26" s="14"/>
      <c r="L26" s="14"/>
      <c r="M26" s="53"/>
      <c r="N26" s="14"/>
      <c r="O26" s="28"/>
      <c r="P26" s="28"/>
      <c r="Q26" s="28"/>
      <c r="R26" s="51"/>
      <c r="S26" s="3"/>
      <c r="T26" s="3" t="s">
        <v>97</v>
      </c>
      <c r="U26" s="3"/>
      <c r="V26" s="3"/>
      <c r="W26" s="3"/>
      <c r="X26" s="52"/>
      <c r="Y26" s="52"/>
      <c r="Z26" s="53"/>
      <c r="AA26" s="53"/>
      <c r="AB26" s="53"/>
      <c r="AC26" s="53"/>
      <c r="AD26" s="53"/>
      <c r="AE26" s="22"/>
      <c r="AF26" s="61"/>
      <c r="AJ26" s="81">
        <v>65000000</v>
      </c>
    </row>
    <row r="27" spans="1:36" x14ac:dyDescent="0.25">
      <c r="A27" s="60"/>
      <c r="B27" s="406" t="s">
        <v>63</v>
      </c>
      <c r="C27" s="406"/>
      <c r="D27" s="406"/>
      <c r="E27" s="406"/>
      <c r="F27" s="406"/>
      <c r="G27" s="406"/>
      <c r="H27" s="406"/>
      <c r="I27" s="407"/>
      <c r="J27" s="196" t="s">
        <v>118</v>
      </c>
      <c r="K27" s="197"/>
      <c r="L27" s="197"/>
      <c r="M27" s="198"/>
      <c r="N27" s="25"/>
      <c r="O27" s="25"/>
      <c r="P27" s="25"/>
      <c r="Q27" s="25"/>
      <c r="R27" s="25"/>
      <c r="S27" s="14"/>
      <c r="T27" s="29"/>
      <c r="U27" s="29"/>
      <c r="V27" s="29"/>
      <c r="W27" s="29"/>
      <c r="X27" s="52"/>
      <c r="Y27" s="52"/>
      <c r="Z27" s="53"/>
      <c r="AA27" s="53"/>
      <c r="AB27" s="53"/>
      <c r="AC27" s="53"/>
      <c r="AD27" s="53"/>
      <c r="AE27" s="22"/>
      <c r="AF27" s="61"/>
      <c r="AJ27" s="81">
        <v>37500000</v>
      </c>
    </row>
    <row r="28" spans="1:36" ht="14.4" thickBo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  <c r="T28" s="29"/>
      <c r="U28" s="29"/>
      <c r="V28" s="29"/>
      <c r="W28" s="29"/>
      <c r="X28" s="52"/>
      <c r="Y28" s="52"/>
      <c r="Z28" s="53"/>
      <c r="AA28" s="53"/>
      <c r="AB28" s="53"/>
      <c r="AC28" s="53"/>
      <c r="AD28" s="53"/>
      <c r="AE28" s="53"/>
      <c r="AF28" s="66"/>
      <c r="AJ28" s="81">
        <v>25844500</v>
      </c>
    </row>
    <row r="29" spans="1:36" ht="14.4" thickTop="1" x14ac:dyDescent="0.25">
      <c r="A29" s="65"/>
      <c r="B29" s="412" t="s">
        <v>71</v>
      </c>
      <c r="C29" s="413"/>
      <c r="D29" s="413"/>
      <c r="E29" s="413"/>
      <c r="F29" s="201">
        <v>1098832907</v>
      </c>
      <c r="G29" s="201"/>
      <c r="H29" s="201"/>
      <c r="I29" s="202"/>
      <c r="J29" s="3"/>
      <c r="K29" s="3"/>
      <c r="L29" s="3"/>
      <c r="M29" s="412" t="s">
        <v>41</v>
      </c>
      <c r="N29" s="413"/>
      <c r="O29" s="413"/>
      <c r="P29" s="413"/>
      <c r="Q29" s="427" t="s">
        <v>21</v>
      </c>
      <c r="R29" s="427"/>
      <c r="S29" s="427"/>
      <c r="T29" s="428"/>
      <c r="U29" s="3"/>
      <c r="V29" s="29"/>
      <c r="W29" s="29"/>
      <c r="X29" s="29"/>
      <c r="Y29" s="29"/>
      <c r="Z29" s="29"/>
      <c r="AA29" s="29"/>
      <c r="AB29" s="29"/>
      <c r="AC29" s="29"/>
      <c r="AD29" s="3"/>
      <c r="AE29" s="3"/>
      <c r="AF29" s="64"/>
      <c r="AJ29" s="81">
        <v>63745500</v>
      </c>
    </row>
    <row r="30" spans="1:36" x14ac:dyDescent="0.25">
      <c r="A30" s="65"/>
      <c r="B30" s="415" t="s">
        <v>79</v>
      </c>
      <c r="C30" s="416"/>
      <c r="D30" s="416"/>
      <c r="E30" s="416"/>
      <c r="F30" s="213">
        <v>0</v>
      </c>
      <c r="G30" s="213"/>
      <c r="H30" s="213"/>
      <c r="I30" s="214"/>
      <c r="J30" s="3"/>
      <c r="K30" s="3"/>
      <c r="L30" s="3"/>
      <c r="M30" s="417" t="s">
        <v>31</v>
      </c>
      <c r="N30" s="418"/>
      <c r="O30" s="418"/>
      <c r="P30" s="419"/>
      <c r="Q30" s="213"/>
      <c r="R30" s="213"/>
      <c r="S30" s="213"/>
      <c r="T30" s="214"/>
      <c r="U30" s="3"/>
      <c r="V30" s="29"/>
      <c r="W30" s="29"/>
      <c r="X30" s="29"/>
      <c r="Y30" s="29"/>
      <c r="Z30" s="29"/>
      <c r="AA30" s="29"/>
      <c r="AB30" s="29"/>
      <c r="AC30" s="29"/>
      <c r="AD30" s="3"/>
      <c r="AE30" s="3"/>
      <c r="AF30" s="64"/>
      <c r="AJ30" s="81"/>
    </row>
    <row r="31" spans="1:36" x14ac:dyDescent="0.25">
      <c r="A31" s="65"/>
      <c r="B31" s="415" t="s">
        <v>6</v>
      </c>
      <c r="C31" s="416"/>
      <c r="D31" s="416"/>
      <c r="E31" s="416"/>
      <c r="F31" s="213">
        <v>215005281</v>
      </c>
      <c r="G31" s="213"/>
      <c r="H31" s="213"/>
      <c r="I31" s="214"/>
      <c r="J31" s="3"/>
      <c r="K31" s="3"/>
      <c r="L31" s="3"/>
      <c r="M31" s="417" t="s">
        <v>35</v>
      </c>
      <c r="N31" s="418"/>
      <c r="O31" s="418"/>
      <c r="P31" s="419"/>
      <c r="Q31" s="213"/>
      <c r="R31" s="213"/>
      <c r="S31" s="213"/>
      <c r="T31" s="214"/>
      <c r="U31" s="3"/>
      <c r="V31" s="29"/>
      <c r="W31" s="29"/>
      <c r="X31" s="29"/>
      <c r="Y31" s="29"/>
      <c r="Z31" s="29"/>
      <c r="AA31" s="29"/>
      <c r="AB31" s="29"/>
      <c r="AC31" s="29"/>
      <c r="AD31" s="3"/>
      <c r="AE31" s="3"/>
      <c r="AF31" s="64"/>
      <c r="AJ31" s="81">
        <v>12500000</v>
      </c>
    </row>
    <row r="32" spans="1:36" x14ac:dyDescent="0.25">
      <c r="A32" s="65"/>
      <c r="B32" s="415" t="s">
        <v>37</v>
      </c>
      <c r="C32" s="416"/>
      <c r="D32" s="416"/>
      <c r="E32" s="416"/>
      <c r="F32" s="213"/>
      <c r="G32" s="213"/>
      <c r="H32" s="213"/>
      <c r="I32" s="214"/>
      <c r="J32" s="53"/>
      <c r="K32" s="3"/>
      <c r="L32" s="3"/>
      <c r="M32" s="417" t="s">
        <v>36</v>
      </c>
      <c r="N32" s="418"/>
      <c r="O32" s="418"/>
      <c r="P32" s="419"/>
      <c r="Q32" s="213"/>
      <c r="R32" s="213"/>
      <c r="S32" s="213"/>
      <c r="T32" s="214"/>
      <c r="U32" s="3"/>
      <c r="V32" s="29"/>
      <c r="W32" s="29"/>
      <c r="X32" s="29"/>
      <c r="Y32" s="29"/>
      <c r="Z32" s="29"/>
      <c r="AA32" s="29"/>
      <c r="AB32" s="29"/>
      <c r="AC32" s="29"/>
      <c r="AD32" s="3"/>
      <c r="AE32" s="3"/>
      <c r="AF32" s="64"/>
      <c r="AJ32" s="81">
        <v>35942000</v>
      </c>
    </row>
    <row r="33" spans="1:38" ht="14.4" thickBot="1" x14ac:dyDescent="0.3">
      <c r="A33" s="65"/>
      <c r="B33" s="420" t="s">
        <v>7</v>
      </c>
      <c r="C33" s="421"/>
      <c r="D33" s="421"/>
      <c r="E33" s="421"/>
      <c r="F33" s="422">
        <f>SUM(F29:I32)</f>
        <v>1313838188</v>
      </c>
      <c r="G33" s="423"/>
      <c r="H33" s="423"/>
      <c r="I33" s="424"/>
      <c r="J33" s="14"/>
      <c r="K33" s="3"/>
      <c r="L33" s="3"/>
      <c r="M33" s="420"/>
      <c r="N33" s="421"/>
      <c r="O33" s="421"/>
      <c r="P33" s="421"/>
      <c r="Q33" s="425"/>
      <c r="R33" s="425"/>
      <c r="S33" s="425"/>
      <c r="T33" s="426"/>
      <c r="U33" s="3"/>
      <c r="V33" s="29"/>
      <c r="W33" s="29"/>
      <c r="X33" s="29"/>
      <c r="Y33" s="29"/>
      <c r="Z33" s="29"/>
      <c r="AA33" s="29"/>
      <c r="AB33" s="29"/>
      <c r="AC33" s="29"/>
      <c r="AD33" s="3"/>
      <c r="AE33" s="3"/>
      <c r="AF33" s="64"/>
      <c r="AJ33" s="81">
        <f>SUM(AJ22:AJ32)</f>
        <v>456625554</v>
      </c>
    </row>
    <row r="34" spans="1:38" ht="14.4" thickTop="1" x14ac:dyDescent="0.25">
      <c r="A34" s="65"/>
      <c r="B34" s="51"/>
      <c r="C34" s="51"/>
      <c r="D34" s="14"/>
      <c r="E34" s="14"/>
      <c r="F34" s="29"/>
      <c r="G34" s="29"/>
      <c r="H34" s="29"/>
      <c r="I34" s="29"/>
      <c r="J34" s="1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64"/>
    </row>
    <row r="35" spans="1:38" ht="15.6" x14ac:dyDescent="0.25">
      <c r="A35" s="60"/>
      <c r="B35" s="139" t="s">
        <v>23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62"/>
    </row>
    <row r="36" spans="1:38" ht="14.4" thickBot="1" x14ac:dyDescent="0.3">
      <c r="A36" s="6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97</v>
      </c>
      <c r="U36" s="3"/>
      <c r="V36" s="3"/>
      <c r="W36" s="3"/>
      <c r="X36" s="3"/>
      <c r="Y36" s="3"/>
      <c r="Z36" s="3"/>
      <c r="AA36" s="3"/>
      <c r="AB36" s="3"/>
      <c r="AC36" s="3"/>
      <c r="AD36" s="53"/>
      <c r="AE36" s="53"/>
      <c r="AF36" s="66"/>
    </row>
    <row r="37" spans="1:38" ht="49.5" customHeight="1" thickTop="1" x14ac:dyDescent="0.25">
      <c r="A37" s="65"/>
      <c r="B37" s="3"/>
      <c r="C37" s="429"/>
      <c r="D37" s="432" t="s">
        <v>42</v>
      </c>
      <c r="E37" s="432"/>
      <c r="F37" s="432"/>
      <c r="G37" s="432"/>
      <c r="H37" s="433"/>
      <c r="I37" s="432" t="s">
        <v>43</v>
      </c>
      <c r="J37" s="432"/>
      <c r="K37" s="432"/>
      <c r="L37" s="433"/>
      <c r="M37" s="432" t="s">
        <v>44</v>
      </c>
      <c r="N37" s="432"/>
      <c r="O37" s="432"/>
      <c r="P37" s="432"/>
      <c r="Q37" s="436"/>
      <c r="R37" s="432" t="s">
        <v>45</v>
      </c>
      <c r="S37" s="432"/>
      <c r="T37" s="432"/>
      <c r="U37" s="432"/>
      <c r="V37" s="432"/>
      <c r="W37" s="432"/>
      <c r="X37" s="436"/>
      <c r="Y37" s="432" t="s">
        <v>64</v>
      </c>
      <c r="Z37" s="432"/>
      <c r="AA37" s="432"/>
      <c r="AB37" s="432"/>
      <c r="AC37" s="439"/>
      <c r="AD37" s="53"/>
      <c r="AE37" s="53"/>
      <c r="AF37" s="66"/>
      <c r="AL37" s="81">
        <v>587090000</v>
      </c>
    </row>
    <row r="38" spans="1:38" x14ac:dyDescent="0.25">
      <c r="A38" s="65"/>
      <c r="B38" s="3"/>
      <c r="C38" s="430"/>
      <c r="D38" s="365">
        <v>1425</v>
      </c>
      <c r="E38" s="365"/>
      <c r="F38" s="365"/>
      <c r="G38" s="365"/>
      <c r="H38" s="434"/>
      <c r="I38" s="246" t="s">
        <v>115</v>
      </c>
      <c r="J38" s="246"/>
      <c r="K38" s="246"/>
      <c r="L38" s="434"/>
      <c r="M38" s="247">
        <v>42734</v>
      </c>
      <c r="N38" s="248"/>
      <c r="O38" s="248"/>
      <c r="P38" s="249"/>
      <c r="Q38" s="437"/>
      <c r="R38" s="250" t="s">
        <v>116</v>
      </c>
      <c r="S38" s="250"/>
      <c r="T38" s="250"/>
      <c r="U38" s="250"/>
      <c r="V38" s="250"/>
      <c r="W38" s="250"/>
      <c r="X38" s="437"/>
      <c r="Y38" s="251">
        <f>23776195*AM66</f>
        <v>15850796.777250903</v>
      </c>
      <c r="Z38" s="251"/>
      <c r="AA38" s="251"/>
      <c r="AB38" s="251"/>
      <c r="AC38" s="440"/>
      <c r="AD38" s="53"/>
      <c r="AE38" s="53"/>
      <c r="AF38" s="66"/>
      <c r="AI38" s="81">
        <f>Y38*9</f>
        <v>142657170.99525812</v>
      </c>
      <c r="AJ38" s="81">
        <v>488264984</v>
      </c>
      <c r="AL38" s="85">
        <f>AL37-1174180000</f>
        <v>-587090000</v>
      </c>
    </row>
    <row r="39" spans="1:38" x14ac:dyDescent="0.25">
      <c r="A39" s="65"/>
      <c r="B39" s="3"/>
      <c r="C39" s="430"/>
      <c r="D39" s="365">
        <v>1425</v>
      </c>
      <c r="E39" s="365"/>
      <c r="F39" s="365"/>
      <c r="G39" s="365"/>
      <c r="H39" s="434"/>
      <c r="I39" s="246" t="s">
        <v>115</v>
      </c>
      <c r="J39" s="246"/>
      <c r="K39" s="246"/>
      <c r="L39" s="434"/>
      <c r="M39" s="247">
        <v>42734</v>
      </c>
      <c r="N39" s="248"/>
      <c r="O39" s="248"/>
      <c r="P39" s="249"/>
      <c r="Q39" s="437"/>
      <c r="R39" s="258" t="s">
        <v>99</v>
      </c>
      <c r="S39" s="258"/>
      <c r="T39" s="258"/>
      <c r="U39" s="258"/>
      <c r="V39" s="258"/>
      <c r="W39" s="258"/>
      <c r="X39" s="437"/>
      <c r="Y39" s="251">
        <f>40149228*AM66</f>
        <v>26766152.186736006</v>
      </c>
      <c r="Z39" s="251"/>
      <c r="AA39" s="251"/>
      <c r="AB39" s="251"/>
      <c r="AC39" s="440"/>
      <c r="AD39" s="53"/>
      <c r="AE39" s="53"/>
      <c r="AF39" s="66"/>
      <c r="AI39" s="81">
        <f>Y39*9</f>
        <v>240895369.68062407</v>
      </c>
      <c r="AJ39" s="81">
        <v>548493111</v>
      </c>
      <c r="AL39" s="81">
        <v>456625554</v>
      </c>
    </row>
    <row r="40" spans="1:38" x14ac:dyDescent="0.25">
      <c r="A40" s="65"/>
      <c r="B40" s="51"/>
      <c r="C40" s="430"/>
      <c r="D40" s="365">
        <v>1425</v>
      </c>
      <c r="E40" s="365"/>
      <c r="F40" s="365"/>
      <c r="G40" s="365"/>
      <c r="H40" s="434"/>
      <c r="I40" s="246" t="s">
        <v>115</v>
      </c>
      <c r="J40" s="246"/>
      <c r="K40" s="246"/>
      <c r="L40" s="434"/>
      <c r="M40" s="247">
        <v>42734</v>
      </c>
      <c r="N40" s="248"/>
      <c r="O40" s="248"/>
      <c r="P40" s="249"/>
      <c r="Q40" s="437"/>
      <c r="R40" s="258" t="s">
        <v>100</v>
      </c>
      <c r="S40" s="258"/>
      <c r="T40" s="258"/>
      <c r="U40" s="258"/>
      <c r="V40" s="258"/>
      <c r="W40" s="258"/>
      <c r="X40" s="437"/>
      <c r="Y40" s="251">
        <f>137518445*AM66</f>
        <v>91678963.972938299</v>
      </c>
      <c r="Z40" s="251"/>
      <c r="AA40" s="251"/>
      <c r="AB40" s="251"/>
      <c r="AC40" s="440"/>
      <c r="AD40" s="53"/>
      <c r="AE40" s="53"/>
      <c r="AF40" s="69"/>
      <c r="AI40" s="81">
        <f>Y40*9</f>
        <v>825110675.75644469</v>
      </c>
      <c r="AJ40" s="81">
        <v>62074812</v>
      </c>
      <c r="AL40" s="81">
        <f>AL37-AL39</f>
        <v>130464446</v>
      </c>
    </row>
    <row r="41" spans="1:38" x14ac:dyDescent="0.25">
      <c r="A41" s="65"/>
      <c r="B41" s="51"/>
      <c r="C41" s="430"/>
      <c r="D41" s="365">
        <v>1425</v>
      </c>
      <c r="E41" s="365"/>
      <c r="F41" s="365"/>
      <c r="G41" s="365"/>
      <c r="H41" s="434"/>
      <c r="I41" s="442">
        <v>1630</v>
      </c>
      <c r="J41" s="442"/>
      <c r="K41" s="442"/>
      <c r="L41" s="434"/>
      <c r="M41" s="247">
        <v>42734</v>
      </c>
      <c r="N41" s="248"/>
      <c r="O41" s="248"/>
      <c r="P41" s="249"/>
      <c r="Q41" s="437"/>
      <c r="R41" s="258" t="s">
        <v>101</v>
      </c>
      <c r="S41" s="258"/>
      <c r="T41" s="258"/>
      <c r="U41" s="258"/>
      <c r="V41" s="258"/>
      <c r="W41" s="258"/>
      <c r="X41" s="437"/>
      <c r="Y41" s="251">
        <f>13561413*AM66</f>
        <v>9040942.0630747899</v>
      </c>
      <c r="Z41" s="251"/>
      <c r="AA41" s="251"/>
      <c r="AB41" s="251"/>
      <c r="AC41" s="440"/>
      <c r="AD41" s="14"/>
      <c r="AE41" s="53"/>
      <c r="AF41" s="66"/>
      <c r="AI41" s="81">
        <f>SUM(AI38:AI40)</f>
        <v>1208663216.4323268</v>
      </c>
      <c r="AJ41" s="81">
        <f>SUM(AJ38:AJ40)</f>
        <v>1098832907</v>
      </c>
    </row>
    <row r="42" spans="1:38" ht="14.4" thickBot="1" x14ac:dyDescent="0.3">
      <c r="A42" s="65"/>
      <c r="B42" s="3"/>
      <c r="C42" s="431"/>
      <c r="D42" s="366"/>
      <c r="E42" s="366"/>
      <c r="F42" s="366"/>
      <c r="G42" s="366"/>
      <c r="H42" s="435"/>
      <c r="I42" s="259"/>
      <c r="J42" s="259"/>
      <c r="K42" s="259"/>
      <c r="L42" s="435"/>
      <c r="M42" s="260"/>
      <c r="N42" s="261"/>
      <c r="O42" s="261"/>
      <c r="P42" s="262"/>
      <c r="Q42" s="438"/>
      <c r="R42" s="263"/>
      <c r="S42" s="263"/>
      <c r="T42" s="263"/>
      <c r="U42" s="263"/>
      <c r="V42" s="263"/>
      <c r="W42" s="263"/>
      <c r="X42" s="438"/>
      <c r="Y42" s="264"/>
      <c r="Z42" s="264"/>
      <c r="AA42" s="264"/>
      <c r="AB42" s="264"/>
      <c r="AC42" s="441"/>
      <c r="AD42" s="14"/>
      <c r="AE42" s="53"/>
      <c r="AF42" s="66"/>
    </row>
    <row r="43" spans="1:38" ht="14.4" thickTop="1" x14ac:dyDescent="0.25">
      <c r="A43" s="65"/>
      <c r="B43" s="3"/>
      <c r="C43" s="51"/>
      <c r="D43" s="14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2"/>
      <c r="R43" s="32"/>
      <c r="S43" s="33"/>
      <c r="T43" s="33"/>
      <c r="U43" s="33"/>
      <c r="V43" s="33"/>
      <c r="W43" s="33"/>
      <c r="X43" s="33"/>
      <c r="Y43" s="33"/>
      <c r="Z43" s="33"/>
      <c r="AA43" s="32"/>
      <c r="AB43" s="3"/>
      <c r="AC43" s="3"/>
      <c r="AD43" s="14"/>
      <c r="AE43" s="53"/>
      <c r="AF43" s="66"/>
    </row>
    <row r="44" spans="1:38" ht="15.6" x14ac:dyDescent="0.25">
      <c r="A44" s="60"/>
      <c r="B44" s="139" t="s">
        <v>46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62"/>
    </row>
    <row r="45" spans="1:38" ht="14.4" thickBot="1" x14ac:dyDescent="0.3">
      <c r="A45" s="60"/>
      <c r="B45" s="51"/>
      <c r="C45" s="51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4"/>
      <c r="AE45" s="53"/>
      <c r="AF45" s="66"/>
      <c r="AI45" s="81">
        <f>Y38*8</f>
        <v>126806374.21800722</v>
      </c>
      <c r="AJ45" s="87">
        <f>AJ38-AI45</f>
        <v>361458609.78199279</v>
      </c>
    </row>
    <row r="46" spans="1:38" ht="15" customHeight="1" thickTop="1" x14ac:dyDescent="0.25">
      <c r="A46" s="60"/>
      <c r="B46" s="3"/>
      <c r="C46" s="3"/>
      <c r="D46" s="3"/>
      <c r="E46" s="444" t="s">
        <v>70</v>
      </c>
      <c r="F46" s="445"/>
      <c r="G46" s="267">
        <v>1900100</v>
      </c>
      <c r="H46" s="267"/>
      <c r="I46" s="267"/>
      <c r="J46" s="267"/>
      <c r="K46" s="446"/>
      <c r="L46" s="449" t="s">
        <v>24</v>
      </c>
      <c r="M46" s="450"/>
      <c r="N46" s="445"/>
      <c r="O46" s="267" t="s">
        <v>74</v>
      </c>
      <c r="P46" s="267"/>
      <c r="Q46" s="267"/>
      <c r="R46" s="267"/>
      <c r="S46" s="451"/>
      <c r="T46" s="454" t="s">
        <v>25</v>
      </c>
      <c r="U46" s="454"/>
      <c r="V46" s="454"/>
      <c r="W46" s="454"/>
      <c r="X46" s="357">
        <v>8461973409</v>
      </c>
      <c r="Y46" s="357"/>
      <c r="Z46" s="357"/>
      <c r="AA46" s="358"/>
      <c r="AB46" s="14"/>
      <c r="AC46" s="14"/>
      <c r="AD46" s="14"/>
      <c r="AE46" s="53"/>
      <c r="AF46" s="66"/>
      <c r="AI46" s="81">
        <f>Y39*8</f>
        <v>214129217.49388805</v>
      </c>
      <c r="AJ46" s="87">
        <f>AJ39-AI46</f>
        <v>334363893.50611198</v>
      </c>
    </row>
    <row r="47" spans="1:38" ht="14.4" thickBot="1" x14ac:dyDescent="0.3">
      <c r="A47" s="60"/>
      <c r="B47" s="51"/>
      <c r="C47" s="3"/>
      <c r="D47" s="3"/>
      <c r="E47" s="34"/>
      <c r="F47" s="35"/>
      <c r="G47" s="35"/>
      <c r="H47" s="35"/>
      <c r="I47" s="35"/>
      <c r="J47" s="35"/>
      <c r="K47" s="447"/>
      <c r="L47" s="35"/>
      <c r="M47" s="35"/>
      <c r="N47" s="35"/>
      <c r="O47" s="35"/>
      <c r="P47" s="35"/>
      <c r="Q47" s="35"/>
      <c r="R47" s="35"/>
      <c r="S47" s="452"/>
      <c r="T47" s="35"/>
      <c r="U47" s="35"/>
      <c r="V47" s="35"/>
      <c r="W47" s="35"/>
      <c r="X47" s="35"/>
      <c r="Y47" s="35"/>
      <c r="Z47" s="35"/>
      <c r="AA47" s="36"/>
      <c r="AB47" s="14"/>
      <c r="AC47" s="14"/>
      <c r="AD47" s="14"/>
      <c r="AE47" s="53"/>
      <c r="AF47" s="66"/>
      <c r="AI47" s="81">
        <f>Y40*8</f>
        <v>733431711.78350639</v>
      </c>
      <c r="AJ47" s="87">
        <f>AJ40-AI47</f>
        <v>-671356899.78350639</v>
      </c>
    </row>
    <row r="48" spans="1:38" ht="15" customHeight="1" thickTop="1" x14ac:dyDescent="0.25">
      <c r="A48" s="60"/>
      <c r="B48" s="3"/>
      <c r="C48" s="3"/>
      <c r="D48" s="3"/>
      <c r="E48" s="455" t="s">
        <v>69</v>
      </c>
      <c r="F48" s="456"/>
      <c r="G48" s="281">
        <v>7595100</v>
      </c>
      <c r="H48" s="281"/>
      <c r="I48" s="281"/>
      <c r="J48" s="281"/>
      <c r="K48" s="447"/>
      <c r="L48" s="457" t="s">
        <v>26</v>
      </c>
      <c r="M48" s="458"/>
      <c r="N48" s="456"/>
      <c r="O48" s="281" t="s">
        <v>77</v>
      </c>
      <c r="P48" s="281"/>
      <c r="Q48" s="281"/>
      <c r="R48" s="281"/>
      <c r="S48" s="452"/>
      <c r="T48" s="459" t="s">
        <v>25</v>
      </c>
      <c r="U48" s="459"/>
      <c r="V48" s="459"/>
      <c r="W48" s="459"/>
      <c r="X48" s="357">
        <v>8461973409</v>
      </c>
      <c r="Y48" s="357"/>
      <c r="Z48" s="357"/>
      <c r="AA48" s="358"/>
      <c r="AB48" s="14"/>
      <c r="AC48" s="14"/>
      <c r="AD48" s="14"/>
      <c r="AE48" s="53"/>
      <c r="AF48" s="66"/>
      <c r="AJ48" s="1" t="s">
        <v>97</v>
      </c>
    </row>
    <row r="49" spans="1:40" ht="14.4" thickBot="1" x14ac:dyDescent="0.3">
      <c r="A49" s="60"/>
      <c r="B49" s="51"/>
      <c r="C49" s="3"/>
      <c r="D49" s="3"/>
      <c r="E49" s="34"/>
      <c r="F49" s="35"/>
      <c r="G49" s="35"/>
      <c r="H49" s="35"/>
      <c r="I49" s="35"/>
      <c r="J49" s="35"/>
      <c r="K49" s="447"/>
      <c r="L49" s="35"/>
      <c r="M49" s="35"/>
      <c r="N49" s="35"/>
      <c r="O49" s="35"/>
      <c r="P49" s="35"/>
      <c r="Q49" s="35"/>
      <c r="R49" s="35"/>
      <c r="S49" s="452"/>
      <c r="T49" s="35"/>
      <c r="U49" s="35"/>
      <c r="V49" s="35"/>
      <c r="W49" s="35"/>
      <c r="X49" s="35"/>
      <c r="Y49" s="35"/>
      <c r="Z49" s="35"/>
      <c r="AA49" s="36"/>
      <c r="AB49" s="14"/>
      <c r="AC49" s="14"/>
      <c r="AD49" s="14"/>
      <c r="AE49" s="53"/>
      <c r="AF49" s="66"/>
    </row>
    <row r="50" spans="1:40" ht="15" customHeight="1" thickTop="1" thickBot="1" x14ac:dyDescent="0.3">
      <c r="A50" s="60"/>
      <c r="B50" s="3"/>
      <c r="C50" s="3"/>
      <c r="D50" s="3"/>
      <c r="E50" s="460" t="s">
        <v>67</v>
      </c>
      <c r="F50" s="461"/>
      <c r="G50" s="287">
        <v>1963900</v>
      </c>
      <c r="H50" s="287"/>
      <c r="I50" s="287"/>
      <c r="J50" s="287"/>
      <c r="K50" s="448"/>
      <c r="L50" s="463" t="s">
        <v>68</v>
      </c>
      <c r="M50" s="464"/>
      <c r="N50" s="461"/>
      <c r="O50" s="290" t="s">
        <v>72</v>
      </c>
      <c r="P50" s="290"/>
      <c r="Q50" s="290"/>
      <c r="R50" s="290"/>
      <c r="S50" s="453"/>
      <c r="T50" s="465" t="s">
        <v>25</v>
      </c>
      <c r="U50" s="465"/>
      <c r="V50" s="465"/>
      <c r="W50" s="465"/>
      <c r="X50" s="357">
        <v>8461973409</v>
      </c>
      <c r="Y50" s="357"/>
      <c r="Z50" s="357"/>
      <c r="AA50" s="358"/>
      <c r="AB50" s="14"/>
      <c r="AC50" s="14"/>
      <c r="AD50" s="14"/>
      <c r="AE50" s="53"/>
      <c r="AF50" s="66"/>
      <c r="AJ50" s="1" t="s">
        <v>97</v>
      </c>
    </row>
    <row r="51" spans="1:40" ht="14.4" thickTop="1" x14ac:dyDescent="0.25">
      <c r="A51" s="60"/>
      <c r="B51" s="447" t="s">
        <v>47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66"/>
    </row>
    <row r="52" spans="1:40" x14ac:dyDescent="0.25">
      <c r="A52" s="60"/>
      <c r="B52" s="51"/>
      <c r="C52" s="5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66"/>
      <c r="AL52" s="1">
        <f>W57*9</f>
        <v>1290031695</v>
      </c>
    </row>
    <row r="53" spans="1:40" ht="15.6" x14ac:dyDescent="0.25">
      <c r="A53" s="60"/>
      <c r="B53" s="339" t="s">
        <v>48</v>
      </c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61"/>
      <c r="AL53" s="86">
        <f>F33-AL52</f>
        <v>23806493</v>
      </c>
    </row>
    <row r="54" spans="1:40" x14ac:dyDescent="0.25">
      <c r="A54" s="60"/>
      <c r="B54" s="14"/>
      <c r="C54" s="466"/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14"/>
      <c r="AE54" s="10"/>
      <c r="AF54" s="61"/>
      <c r="AL54" s="1" t="s">
        <v>110</v>
      </c>
    </row>
    <row r="55" spans="1:40" s="39" customFormat="1" ht="15" customHeight="1" x14ac:dyDescent="0.3">
      <c r="A55" s="70"/>
      <c r="B55" s="38"/>
      <c r="C55" s="467" t="s">
        <v>49</v>
      </c>
      <c r="D55" s="468"/>
      <c r="E55" s="471" t="s">
        <v>50</v>
      </c>
      <c r="F55" s="472"/>
      <c r="G55" s="472"/>
      <c r="H55" s="472"/>
      <c r="I55" s="472"/>
      <c r="J55" s="473"/>
      <c r="K55" s="467" t="s">
        <v>51</v>
      </c>
      <c r="L55" s="474"/>
      <c r="M55" s="468"/>
      <c r="N55" s="467" t="s">
        <v>32</v>
      </c>
      <c r="O55" s="474"/>
      <c r="P55" s="468"/>
      <c r="Q55" s="467" t="s">
        <v>52</v>
      </c>
      <c r="R55" s="474"/>
      <c r="S55" s="468"/>
      <c r="T55" s="467" t="s">
        <v>9</v>
      </c>
      <c r="U55" s="474"/>
      <c r="V55" s="468"/>
      <c r="W55" s="467" t="s">
        <v>10</v>
      </c>
      <c r="X55" s="474"/>
      <c r="Y55" s="474"/>
      <c r="Z55" s="468"/>
      <c r="AA55" s="467" t="s">
        <v>11</v>
      </c>
      <c r="AB55" s="474"/>
      <c r="AC55" s="468"/>
      <c r="AD55" s="38"/>
      <c r="AE55" s="10"/>
      <c r="AF55" s="61"/>
    </row>
    <row r="56" spans="1:40" s="39" customFormat="1" x14ac:dyDescent="0.3">
      <c r="A56" s="70"/>
      <c r="B56" s="38"/>
      <c r="C56" s="469"/>
      <c r="D56" s="470"/>
      <c r="E56" s="483" t="s">
        <v>16</v>
      </c>
      <c r="F56" s="484"/>
      <c r="G56" s="485"/>
      <c r="H56" s="483" t="s">
        <v>17</v>
      </c>
      <c r="I56" s="484"/>
      <c r="J56" s="485"/>
      <c r="K56" s="469"/>
      <c r="L56" s="475"/>
      <c r="M56" s="470"/>
      <c r="N56" s="469"/>
      <c r="O56" s="475"/>
      <c r="P56" s="470"/>
      <c r="Q56" s="469"/>
      <c r="R56" s="475"/>
      <c r="S56" s="470"/>
      <c r="T56" s="469"/>
      <c r="U56" s="475"/>
      <c r="V56" s="470"/>
      <c r="W56" s="469"/>
      <c r="X56" s="475"/>
      <c r="Y56" s="475"/>
      <c r="Z56" s="470"/>
      <c r="AA56" s="469"/>
      <c r="AB56" s="475"/>
      <c r="AC56" s="470"/>
      <c r="AD56" s="38"/>
      <c r="AE56" s="10"/>
      <c r="AF56" s="61"/>
      <c r="AH56" s="84">
        <f>W57</f>
        <v>143336855</v>
      </c>
    </row>
    <row r="57" spans="1:40" s="39" customFormat="1" x14ac:dyDescent="0.25">
      <c r="A57" s="70"/>
      <c r="B57" s="38"/>
      <c r="C57" s="329">
        <v>1</v>
      </c>
      <c r="D57" s="330"/>
      <c r="E57" s="359">
        <v>42736</v>
      </c>
      <c r="F57" s="360"/>
      <c r="G57" s="361"/>
      <c r="H57" s="359">
        <v>42766</v>
      </c>
      <c r="I57" s="360"/>
      <c r="J57" s="361"/>
      <c r="K57" s="362">
        <v>0.92</v>
      </c>
      <c r="L57" s="363"/>
      <c r="M57" s="364"/>
      <c r="N57" s="310">
        <f>pabril!W57+pmayo!W57+junio!W57+julio!W57+agosto!W57+septiembre!W57+octubre!W57+noviembre!W57+diciembre!W57</f>
        <v>1098832905</v>
      </c>
      <c r="O57" s="340"/>
      <c r="P57" s="341"/>
      <c r="Q57" s="345">
        <v>141079582</v>
      </c>
      <c r="R57" s="346"/>
      <c r="S57" s="347"/>
      <c r="T57" s="345">
        <v>2257273</v>
      </c>
      <c r="U57" s="346"/>
      <c r="V57" s="347"/>
      <c r="W57" s="476">
        <f>Q57+T57</f>
        <v>143336855</v>
      </c>
      <c r="X57" s="477"/>
      <c r="Y57" s="477"/>
      <c r="Z57" s="478"/>
      <c r="AA57" s="476">
        <f>F33-N57-W57</f>
        <v>71668428</v>
      </c>
      <c r="AB57" s="477"/>
      <c r="AC57" s="478"/>
      <c r="AD57" s="38"/>
      <c r="AE57" s="10"/>
      <c r="AF57" s="61"/>
      <c r="AJ57" s="84"/>
    </row>
    <row r="58" spans="1:40" s="39" customFormat="1" x14ac:dyDescent="0.3">
      <c r="A58" s="70"/>
      <c r="B58" s="38"/>
      <c r="C58" s="479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1"/>
      <c r="AD58" s="38"/>
      <c r="AE58" s="10"/>
      <c r="AF58" s="61"/>
      <c r="AJ58" s="39">
        <v>1</v>
      </c>
    </row>
    <row r="59" spans="1:40" ht="14.4" thickBot="1" x14ac:dyDescent="0.3">
      <c r="A59" s="60"/>
      <c r="B59" s="14"/>
      <c r="C59" s="482"/>
      <c r="D59" s="482"/>
      <c r="E59" s="482"/>
      <c r="F59" s="482"/>
      <c r="G59" s="482"/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14"/>
      <c r="AE59" s="10"/>
      <c r="AF59" s="61"/>
      <c r="AI59" s="88">
        <v>61582192</v>
      </c>
      <c r="AJ59" s="1">
        <v>16</v>
      </c>
    </row>
    <row r="60" spans="1:40" ht="15" customHeight="1" thickBot="1" x14ac:dyDescent="0.3">
      <c r="A60" s="60"/>
      <c r="B60" s="10"/>
      <c r="C60" s="319" t="s">
        <v>117</v>
      </c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10"/>
      <c r="AE60" s="10"/>
      <c r="AF60" s="61"/>
      <c r="AI60" s="88">
        <v>60412031</v>
      </c>
      <c r="AN60" s="87">
        <f>AL66/30</f>
        <v>4777895.166666667</v>
      </c>
    </row>
    <row r="61" spans="1:40" ht="14.4" thickBot="1" x14ac:dyDescent="0.3">
      <c r="A61" s="60"/>
      <c r="B61" s="1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10"/>
      <c r="AE61" s="10"/>
      <c r="AF61" s="61"/>
      <c r="AI61" s="88">
        <v>98322</v>
      </c>
      <c r="AN61" s="87">
        <f>AL67/15</f>
        <v>4777895.0666666664</v>
      </c>
    </row>
    <row r="62" spans="1:40" x14ac:dyDescent="0.25">
      <c r="A62" s="60"/>
      <c r="B62" s="1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10"/>
      <c r="AE62" s="10"/>
      <c r="AF62" s="61"/>
    </row>
    <row r="63" spans="1:40" x14ac:dyDescent="0.25">
      <c r="A63" s="6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61"/>
    </row>
    <row r="64" spans="1:40" ht="15.6" x14ac:dyDescent="0.25">
      <c r="A64" s="60"/>
      <c r="B64" s="339" t="s">
        <v>12</v>
      </c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61"/>
    </row>
    <row r="65" spans="1:39" x14ac:dyDescent="0.25">
      <c r="A65" s="6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66"/>
      <c r="AL65" s="81">
        <f>215005281</f>
        <v>215005281</v>
      </c>
    </row>
    <row r="66" spans="1:39" x14ac:dyDescent="0.25">
      <c r="A66" s="65"/>
      <c r="B66" s="326" t="s">
        <v>61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"/>
      <c r="AF66" s="66"/>
      <c r="AL66" s="81">
        <v>143336855</v>
      </c>
      <c r="AM66" s="90">
        <f>AL66/AL65</f>
        <v>0.66666667131771518</v>
      </c>
    </row>
    <row r="67" spans="1:39" x14ac:dyDescent="0.25">
      <c r="A67" s="63"/>
      <c r="B67" s="51" t="s">
        <v>13</v>
      </c>
      <c r="C67" s="306" t="str">
        <f>+I9</f>
        <v>SEGURIDAD NÁPOLES</v>
      </c>
      <c r="D67" s="306"/>
      <c r="E67" s="306"/>
      <c r="F67" s="306"/>
      <c r="G67" s="306"/>
      <c r="H67" s="306"/>
      <c r="I67" s="306"/>
      <c r="J67" s="306"/>
      <c r="K67" s="306"/>
      <c r="L67" s="307" t="s">
        <v>53</v>
      </c>
      <c r="M67" s="307"/>
      <c r="N67" s="307"/>
      <c r="O67" s="308" t="str">
        <f>+I15</f>
        <v>C.C.</v>
      </c>
      <c r="P67" s="306"/>
      <c r="Q67" s="50" t="s">
        <v>3</v>
      </c>
      <c r="R67" s="308" t="str">
        <f>+L15</f>
        <v>860523408-6</v>
      </c>
      <c r="S67" s="308"/>
      <c r="T67" s="308"/>
      <c r="U67" s="308"/>
      <c r="V67" s="308"/>
      <c r="W67" s="309" t="s">
        <v>34</v>
      </c>
      <c r="X67" s="309"/>
      <c r="Y67" s="309"/>
      <c r="Z67" s="309"/>
      <c r="AA67" s="309"/>
      <c r="AB67" s="309"/>
      <c r="AC67" s="309"/>
      <c r="AD67" s="309"/>
      <c r="AE67" s="3"/>
      <c r="AF67" s="64"/>
      <c r="AJ67" s="89">
        <f>W57*9</f>
        <v>1290031695</v>
      </c>
      <c r="AL67" s="81">
        <f>AL65-AL66</f>
        <v>71668426</v>
      </c>
      <c r="AM67" s="90">
        <f>AL67/AL65</f>
        <v>0.33333332868228477</v>
      </c>
    </row>
    <row r="68" spans="1:39" x14ac:dyDescent="0.25">
      <c r="A68" s="65"/>
      <c r="B68" s="344" t="str">
        <f>+I11</f>
        <v>PRESTACIÓN DE SERVICIOS</v>
      </c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51" t="s">
        <v>3</v>
      </c>
      <c r="N68" s="306">
        <f>+I13</f>
        <v>89</v>
      </c>
      <c r="O68" s="306"/>
      <c r="P68" s="50" t="s">
        <v>14</v>
      </c>
      <c r="Q68" s="306">
        <f>+O13</f>
        <v>2016</v>
      </c>
      <c r="R68" s="306"/>
      <c r="S68" s="326" t="s">
        <v>33</v>
      </c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16"/>
      <c r="AE68" s="16"/>
      <c r="AF68" s="71"/>
      <c r="AJ68" s="87">
        <f>AJ41-AJ67</f>
        <v>-191198788</v>
      </c>
    </row>
    <row r="69" spans="1:39" x14ac:dyDescent="0.25">
      <c r="A69" s="65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66"/>
    </row>
    <row r="70" spans="1:39" ht="32.25" customHeight="1" x14ac:dyDescent="0.25">
      <c r="A70" s="65"/>
      <c r="B70" s="327" t="s">
        <v>54</v>
      </c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  <c r="AA70" s="327"/>
      <c r="AB70" s="327"/>
      <c r="AC70" s="327"/>
      <c r="AD70" s="327"/>
      <c r="AE70" s="327"/>
      <c r="AF70" s="66"/>
    </row>
    <row r="71" spans="1:39" x14ac:dyDescent="0.25">
      <c r="A71" s="65"/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66"/>
    </row>
    <row r="72" spans="1:39" x14ac:dyDescent="0.25">
      <c r="A72" s="65"/>
      <c r="B72" s="326" t="s">
        <v>55</v>
      </c>
      <c r="C72" s="326"/>
      <c r="D72" s="326"/>
      <c r="E72" s="326"/>
      <c r="F72" s="326"/>
      <c r="G72" s="326"/>
      <c r="H72" s="326"/>
      <c r="I72" s="326"/>
      <c r="J72" s="326"/>
      <c r="K72" s="326"/>
      <c r="L72" s="328">
        <f>+W57</f>
        <v>143336855</v>
      </c>
      <c r="M72" s="328"/>
      <c r="N72" s="328"/>
      <c r="O72" s="328"/>
      <c r="P72" s="51" t="s">
        <v>15</v>
      </c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66"/>
    </row>
    <row r="73" spans="1:39" x14ac:dyDescent="0.25">
      <c r="A73" s="65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41"/>
      <c r="M73" s="41"/>
      <c r="N73" s="41"/>
      <c r="O73" s="4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66"/>
    </row>
    <row r="74" spans="1:39" x14ac:dyDescent="0.25">
      <c r="A74" s="65"/>
      <c r="B74" s="381" t="s">
        <v>56</v>
      </c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42">
        <v>14</v>
      </c>
      <c r="O74" s="342"/>
      <c r="P74" s="51"/>
      <c r="Q74" s="48"/>
      <c r="R74" s="48">
        <v>3</v>
      </c>
      <c r="S74" s="48"/>
      <c r="T74" s="3"/>
      <c r="U74" s="343">
        <v>2017</v>
      </c>
      <c r="V74" s="343"/>
      <c r="W74" s="51"/>
      <c r="X74" s="51"/>
      <c r="Y74" s="51"/>
      <c r="Z74" s="51"/>
      <c r="AA74" s="51"/>
      <c r="AB74" s="51"/>
      <c r="AC74" s="51"/>
      <c r="AD74" s="51"/>
      <c r="AE74" s="51"/>
      <c r="AF74" s="66"/>
    </row>
    <row r="75" spans="1:39" x14ac:dyDescent="0.25">
      <c r="A75" s="6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489" t="s">
        <v>28</v>
      </c>
      <c r="O75" s="489"/>
      <c r="P75" s="52"/>
      <c r="Q75" s="489" t="s">
        <v>29</v>
      </c>
      <c r="R75" s="489"/>
      <c r="S75" s="489"/>
      <c r="T75" s="52"/>
      <c r="U75" s="489" t="s">
        <v>30</v>
      </c>
      <c r="V75" s="489"/>
      <c r="W75" s="14"/>
      <c r="X75" s="14"/>
      <c r="Y75" s="14"/>
      <c r="Z75" s="14"/>
      <c r="AA75" s="14"/>
      <c r="AB75" s="14"/>
      <c r="AC75" s="14"/>
      <c r="AD75" s="14"/>
      <c r="AE75" s="14"/>
      <c r="AF75" s="66"/>
    </row>
    <row r="76" spans="1:39" x14ac:dyDescent="0.25">
      <c r="A76" s="6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14"/>
      <c r="AB76" s="14"/>
      <c r="AC76" s="14"/>
      <c r="AD76" s="14"/>
      <c r="AE76" s="14"/>
      <c r="AF76" s="66"/>
    </row>
    <row r="77" spans="1:39" x14ac:dyDescent="0.25">
      <c r="A77" s="6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14"/>
      <c r="AB77" s="14"/>
      <c r="AC77" s="14"/>
      <c r="AD77" s="14"/>
      <c r="AE77" s="14"/>
      <c r="AF77" s="66"/>
    </row>
    <row r="78" spans="1:39" x14ac:dyDescent="0.25">
      <c r="A78" s="65"/>
      <c r="B78" s="447"/>
      <c r="C78" s="447"/>
      <c r="D78" s="447"/>
      <c r="E78" s="447"/>
      <c r="F78" s="447"/>
      <c r="G78" s="447"/>
      <c r="H78" s="447"/>
      <c r="I78" s="447"/>
      <c r="J78" s="44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66"/>
    </row>
    <row r="79" spans="1:39" ht="15.6" x14ac:dyDescent="0.25">
      <c r="A79" s="65"/>
      <c r="B79" s="486"/>
      <c r="C79" s="486"/>
      <c r="D79" s="486"/>
      <c r="E79" s="486"/>
      <c r="F79" s="486"/>
      <c r="G79" s="486"/>
      <c r="H79" s="486"/>
      <c r="I79" s="486"/>
      <c r="J79" s="48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90"/>
    </row>
    <row r="80" spans="1:39" x14ac:dyDescent="0.25">
      <c r="A80" s="65"/>
      <c r="B80" s="14"/>
      <c r="C80" s="14"/>
      <c r="D80" s="14"/>
      <c r="E80" s="14"/>
      <c r="F80" s="14"/>
      <c r="G80" s="14"/>
      <c r="H80" s="14"/>
      <c r="I80" s="14"/>
      <c r="J80" s="14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52"/>
      <c r="V80" s="52"/>
      <c r="W80" s="52"/>
      <c r="X80" s="52"/>
      <c r="Y80" s="52"/>
      <c r="Z80" s="52"/>
      <c r="AA80" s="52"/>
      <c r="AB80" s="52"/>
      <c r="AC80" s="52"/>
      <c r="AD80" s="14"/>
      <c r="AE80" s="14"/>
      <c r="AF80" s="66"/>
    </row>
    <row r="81" spans="1:32" x14ac:dyDescent="0.25">
      <c r="A81" s="6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42"/>
      <c r="AD81" s="14"/>
      <c r="AE81" s="14"/>
      <c r="AF81" s="66"/>
    </row>
    <row r="82" spans="1:32" ht="15.6" x14ac:dyDescent="0.25">
      <c r="A82" s="65"/>
      <c r="B82" s="14"/>
      <c r="C82" s="488" t="s">
        <v>66</v>
      </c>
      <c r="D82" s="489"/>
      <c r="E82" s="489"/>
      <c r="F82" s="489"/>
      <c r="G82" s="489"/>
      <c r="H82" s="489"/>
      <c r="I82" s="489"/>
      <c r="J82" s="489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8" t="s">
        <v>66</v>
      </c>
      <c r="V82" s="489"/>
      <c r="W82" s="489"/>
      <c r="X82" s="489"/>
      <c r="Y82" s="489"/>
      <c r="Z82" s="489"/>
      <c r="AA82" s="489"/>
      <c r="AB82" s="489"/>
      <c r="AC82" s="14"/>
      <c r="AD82" s="14"/>
      <c r="AE82" s="14"/>
      <c r="AF82" s="66"/>
    </row>
    <row r="83" spans="1:32" ht="14.4" thickBot="1" x14ac:dyDescent="0.3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4"/>
    </row>
    <row r="84" spans="1:32" x14ac:dyDescent="0.25">
      <c r="B84" s="46"/>
    </row>
    <row r="85" spans="1:32" x14ac:dyDescent="0.25">
      <c r="B85" s="46"/>
    </row>
    <row r="86" spans="1:32" x14ac:dyDescent="0.25">
      <c r="B86" s="46"/>
    </row>
  </sheetData>
  <sheetProtection selectLockedCells="1"/>
  <mergeCells count="164">
    <mergeCell ref="B78:J78"/>
    <mergeCell ref="B79:J79"/>
    <mergeCell ref="U79:AF79"/>
    <mergeCell ref="C82:J82"/>
    <mergeCell ref="U82:AB82"/>
    <mergeCell ref="B74:M74"/>
    <mergeCell ref="N74:O74"/>
    <mergeCell ref="U74:V74"/>
    <mergeCell ref="N75:O75"/>
    <mergeCell ref="Q75:S75"/>
    <mergeCell ref="U75:V75"/>
    <mergeCell ref="B68:L68"/>
    <mergeCell ref="N68:O68"/>
    <mergeCell ref="Q68:R68"/>
    <mergeCell ref="S68:AC68"/>
    <mergeCell ref="B70:AE70"/>
    <mergeCell ref="B72:K72"/>
    <mergeCell ref="L72:O72"/>
    <mergeCell ref="B64:AE64"/>
    <mergeCell ref="B66:AD66"/>
    <mergeCell ref="C67:K67"/>
    <mergeCell ref="L67:N67"/>
    <mergeCell ref="O67:P67"/>
    <mergeCell ref="R67:V67"/>
    <mergeCell ref="W67:AD67"/>
    <mergeCell ref="T57:V57"/>
    <mergeCell ref="W57:Z57"/>
    <mergeCell ref="AA57:AC57"/>
    <mergeCell ref="C58:AC58"/>
    <mergeCell ref="C59:AC59"/>
    <mergeCell ref="C60:AC62"/>
    <mergeCell ref="W55:Z56"/>
    <mergeCell ref="AA55:AC56"/>
    <mergeCell ref="E56:G56"/>
    <mergeCell ref="H56:J56"/>
    <mergeCell ref="C57:D57"/>
    <mergeCell ref="E57:G57"/>
    <mergeCell ref="H57:J57"/>
    <mergeCell ref="K57:M57"/>
    <mergeCell ref="N57:P57"/>
    <mergeCell ref="Q57:S57"/>
    <mergeCell ref="B51:AE51"/>
    <mergeCell ref="B53:AE53"/>
    <mergeCell ref="C54:AC54"/>
    <mergeCell ref="C55:D56"/>
    <mergeCell ref="E55:J55"/>
    <mergeCell ref="K55:M56"/>
    <mergeCell ref="N55:P56"/>
    <mergeCell ref="Q55:S56"/>
    <mergeCell ref="T55:V56"/>
    <mergeCell ref="B44:AE44"/>
    <mergeCell ref="E46:F46"/>
    <mergeCell ref="G46:J46"/>
    <mergeCell ref="K46:K50"/>
    <mergeCell ref="L46:N46"/>
    <mergeCell ref="O46:R46"/>
    <mergeCell ref="S46:S50"/>
    <mergeCell ref="T46:W46"/>
    <mergeCell ref="X46:AA46"/>
    <mergeCell ref="E48:F48"/>
    <mergeCell ref="G48:J48"/>
    <mergeCell ref="L48:N48"/>
    <mergeCell ref="O48:R48"/>
    <mergeCell ref="T48:W48"/>
    <mergeCell ref="X48:AA48"/>
    <mergeCell ref="E50:F50"/>
    <mergeCell ref="G50:J50"/>
    <mergeCell ref="L50:N50"/>
    <mergeCell ref="O50:R50"/>
    <mergeCell ref="T50:W50"/>
    <mergeCell ref="X50:AA50"/>
    <mergeCell ref="D39:G39"/>
    <mergeCell ref="I39:K39"/>
    <mergeCell ref="M39:P39"/>
    <mergeCell ref="D41:G41"/>
    <mergeCell ref="I41:K41"/>
    <mergeCell ref="M41:P41"/>
    <mergeCell ref="R41:W41"/>
    <mergeCell ref="Y41:AB41"/>
    <mergeCell ref="D42:G42"/>
    <mergeCell ref="I42:K42"/>
    <mergeCell ref="M42:P42"/>
    <mergeCell ref="R42:W42"/>
    <mergeCell ref="Y42:AB42"/>
    <mergeCell ref="B35:AE35"/>
    <mergeCell ref="C37:C42"/>
    <mergeCell ref="D37:G37"/>
    <mergeCell ref="H37:H42"/>
    <mergeCell ref="I37:K37"/>
    <mergeCell ref="L37:L42"/>
    <mergeCell ref="M37:P37"/>
    <mergeCell ref="Q37:Q42"/>
    <mergeCell ref="R37:W37"/>
    <mergeCell ref="X37:X42"/>
    <mergeCell ref="R39:W39"/>
    <mergeCell ref="Y39:AB39"/>
    <mergeCell ref="D40:G40"/>
    <mergeCell ref="I40:K40"/>
    <mergeCell ref="M40:P40"/>
    <mergeCell ref="R40:W40"/>
    <mergeCell ref="Y40:AB40"/>
    <mergeCell ref="Y37:AB37"/>
    <mergeCell ref="AC37:AC42"/>
    <mergeCell ref="D38:G38"/>
    <mergeCell ref="I38:K38"/>
    <mergeCell ref="M38:P38"/>
    <mergeCell ref="R38:W38"/>
    <mergeCell ref="Y38:AB38"/>
    <mergeCell ref="B32:E32"/>
    <mergeCell ref="F32:I32"/>
    <mergeCell ref="M32:P32"/>
    <mergeCell ref="Q32:T32"/>
    <mergeCell ref="B33:E33"/>
    <mergeCell ref="F33:I33"/>
    <mergeCell ref="M33:P33"/>
    <mergeCell ref="Q33:T33"/>
    <mergeCell ref="Q29:T29"/>
    <mergeCell ref="B30:E30"/>
    <mergeCell ref="F30:I30"/>
    <mergeCell ref="M30:P30"/>
    <mergeCell ref="Q30:T30"/>
    <mergeCell ref="B31:E31"/>
    <mergeCell ref="F31:I31"/>
    <mergeCell ref="M31:P31"/>
    <mergeCell ref="Q31:T31"/>
    <mergeCell ref="H26:I26"/>
    <mergeCell ref="B27:I27"/>
    <mergeCell ref="J27:M27"/>
    <mergeCell ref="B29:E29"/>
    <mergeCell ref="F29:I29"/>
    <mergeCell ref="M29:P29"/>
    <mergeCell ref="AA23:AE23"/>
    <mergeCell ref="B25:I25"/>
    <mergeCell ref="J25:M25"/>
    <mergeCell ref="R25:U25"/>
    <mergeCell ref="V25:W25"/>
    <mergeCell ref="X25:Y25"/>
    <mergeCell ref="B17:H17"/>
    <mergeCell ref="I17:Q18"/>
    <mergeCell ref="B19:H19"/>
    <mergeCell ref="I19:Q19"/>
    <mergeCell ref="B21:AE21"/>
    <mergeCell ref="B23:F23"/>
    <mergeCell ref="G23:O23"/>
    <mergeCell ref="P23:Q23"/>
    <mergeCell ref="R23:X23"/>
    <mergeCell ref="Y23:Z23"/>
    <mergeCell ref="B13:H13"/>
    <mergeCell ref="I13:J13"/>
    <mergeCell ref="K13:N13"/>
    <mergeCell ref="O13:Q13"/>
    <mergeCell ref="B15:H15"/>
    <mergeCell ref="I15:J15"/>
    <mergeCell ref="L15:Q15"/>
    <mergeCell ref="A3:AF3"/>
    <mergeCell ref="B4:AF4"/>
    <mergeCell ref="A6:AF6"/>
    <mergeCell ref="B7:AE7"/>
    <mergeCell ref="B9:H9"/>
    <mergeCell ref="I9:Q9"/>
    <mergeCell ref="S9:T9"/>
    <mergeCell ref="U9:AE16"/>
    <mergeCell ref="B11:H11"/>
    <mergeCell ref="I11:Q11"/>
  </mergeCells>
  <dataValidations count="5">
    <dataValidation type="list" allowBlank="1" showInputMessage="1" showErrorMessage="1" sqref="AA23:AE23" xr:uid="{00000000-0002-0000-0E00-000000000000}">
      <formula1>"Corriente, Ahorro"</formula1>
    </dataValidation>
    <dataValidation type="list" allowBlank="1" showInputMessage="1" showErrorMessage="1" sqref="R23" xr:uid="{00000000-0002-0000-0E00-000001000000}">
      <formula1>"Banco de Bogotá, Bancolombia, Banco Pupular"</formula1>
    </dataValidation>
    <dataValidation type="list" allowBlank="1" showInputMessage="1" showErrorMessage="1" prompt="C.C.:Cédula de Ciudadanía; C.E.:Cédula de Extranjería; NIT.: Número de Identificación Tributaria; PAS.: Pasaporte" sqref="I15:J15" xr:uid="{00000000-0002-0000-0E00-000002000000}">
      <formula1>"C.C.,C.E.,NIT.,PAS."</formula1>
    </dataValidation>
    <dataValidation allowBlank="1" showInputMessage="1" showErrorMessage="1" prompt="AÑO" sqref="O13" xr:uid="{00000000-0002-0000-0E00-000003000000}"/>
    <dataValidation type="list" allowBlank="1" showInputMessage="1" showErrorMessage="1" sqref="Q74" xr:uid="{00000000-0002-0000-0E00-000004000000}">
      <formula1>#REF!</formula1>
    </dataValidation>
  </dataValidations>
  <printOptions horizontalCentered="1" verticalCentered="1"/>
  <pageMargins left="0.39370078740157483" right="0.19685039370078741" top="0.23622047244094491" bottom="0.59055118110236227" header="0" footer="0.39370078740157483"/>
  <pageSetup scale="55" orientation="portrait" r:id="rId1"/>
  <headerFooter scaleWithDoc="0">
    <oddFooter>&amp;R&amp;"Times New Roman,Normal"&amp;10Página &amp;Pde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11</vt:i4>
      </vt:variant>
    </vt:vector>
  </HeadingPairs>
  <TitlesOfParts>
    <vt:vector size="26" baseType="lpstr">
      <vt:lpstr>Hoja4</vt:lpstr>
      <vt:lpstr>Hoja1</vt:lpstr>
      <vt:lpstr>CERTIFICADO PARA PAGO</vt:lpstr>
      <vt:lpstr>pabril</vt:lpstr>
      <vt:lpstr>abril</vt:lpstr>
      <vt:lpstr>pmayo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enero 2017</vt:lpstr>
      <vt:lpstr>agosto!Área_de_impresión</vt:lpstr>
      <vt:lpstr>'CERTIFICADO PARA PAGO'!Área_de_impresión</vt:lpstr>
      <vt:lpstr>diciembre!Área_de_impresión</vt:lpstr>
      <vt:lpstr>'enero 2017'!Área_de_impresión</vt:lpstr>
      <vt:lpstr>julio!Área_de_impresión</vt:lpstr>
      <vt:lpstr>junio!Área_de_impresión</vt:lpstr>
      <vt:lpstr>noviembre!Área_de_impresión</vt:lpstr>
      <vt:lpstr>octubre!Área_de_impresión</vt:lpstr>
      <vt:lpstr>pabril!Área_de_impresión</vt:lpstr>
      <vt:lpstr>pmayo!Área_de_impresión</vt:lpstr>
      <vt:lpstr>septiembre!Área_de_impresión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ocastellanosb</dc:creator>
  <cp:lastModifiedBy>Haminton Mena  Mena</cp:lastModifiedBy>
  <cp:lastPrinted>2026-04-20T19:11:46Z</cp:lastPrinted>
  <dcterms:created xsi:type="dcterms:W3CDTF">2009-10-08T15:46:46Z</dcterms:created>
  <dcterms:modified xsi:type="dcterms:W3CDTF">2026-09-10T22:19:54Z</dcterms:modified>
</cp:coreProperties>
</file>